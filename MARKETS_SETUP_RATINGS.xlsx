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lam\Documents\"/>
    </mc:Choice>
  </mc:AlternateContent>
  <xr:revisionPtr revIDLastSave="0" documentId="13_ncr:1_{38586DB9-4A24-447C-B948-734D22657B5C}" xr6:coauthVersionLast="47" xr6:coauthVersionMax="47" xr10:uidLastSave="{00000000-0000-0000-0000-000000000000}"/>
  <bookViews>
    <workbookView xWindow="-90" yWindow="0" windowWidth="11480" windowHeight="11370" xr2:uid="{C3316951-AD71-4EDD-9B99-4FF9EF3DF785}"/>
  </bookViews>
  <sheets>
    <sheet name="2026 US30" sheetId="1" r:id="rId1"/>
    <sheet name="Executive Dashboard" sheetId="5" r:id="rId2"/>
    <sheet name="Financial Modelling " sheetId="6" r:id="rId3"/>
    <sheet name="README" sheetId="7" r:id="rId4"/>
    <sheet name="2025 US 30" sheetId="2" r:id="rId5"/>
    <sheet name="2022 US 30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2" i="1" l="1"/>
  <c r="G33" i="1"/>
  <c r="J12" i="1" s="1"/>
  <c r="G34" i="1"/>
  <c r="G35" i="1"/>
  <c r="J3" i="1"/>
  <c r="J4" i="1"/>
  <c r="J5" i="1"/>
  <c r="J6" i="1"/>
  <c r="J7" i="1"/>
  <c r="J8" i="1"/>
  <c r="J9" i="1"/>
  <c r="J10" i="1"/>
  <c r="J11" i="1"/>
  <c r="J13" i="1"/>
  <c r="J14" i="1"/>
  <c r="J15" i="1"/>
  <c r="J17" i="1"/>
  <c r="J18" i="1"/>
  <c r="J19" i="1"/>
  <c r="J20" i="1"/>
  <c r="J21" i="1"/>
  <c r="J22" i="1"/>
  <c r="J23" i="1"/>
  <c r="J2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" i="1"/>
  <c r="O3" i="1"/>
  <c r="O4" i="1" s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D4" i="6"/>
  <c r="M2" i="1"/>
  <c r="M3" i="1" s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L27" i="1"/>
  <c r="K2" i="2"/>
  <c r="K3" i="2" s="1"/>
  <c r="K4" i="2" s="1"/>
  <c r="K5" i="2" s="1"/>
  <c r="K6" i="2" s="1"/>
  <c r="K7" i="2" s="1"/>
  <c r="K8" i="2" s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H53" i="2"/>
  <c r="H52" i="2"/>
  <c r="H51" i="2"/>
  <c r="H50" i="2"/>
  <c r="E64" i="2" s="1"/>
  <c r="F53" i="2"/>
  <c r="F52" i="2"/>
  <c r="F51" i="2"/>
  <c r="F50" i="2"/>
  <c r="E50" i="2"/>
  <c r="E53" i="2"/>
  <c r="E52" i="2"/>
  <c r="E51" i="2"/>
  <c r="D53" i="2"/>
  <c r="D52" i="2"/>
  <c r="I52" i="2" s="1"/>
  <c r="D51" i="2"/>
  <c r="I51" i="2" s="1"/>
  <c r="D50" i="2"/>
  <c r="I50" i="2" s="1"/>
  <c r="H35" i="1"/>
  <c r="H34" i="1"/>
  <c r="H33" i="1"/>
  <c r="H32" i="1"/>
  <c r="F35" i="1"/>
  <c r="F34" i="1"/>
  <c r="F33" i="1"/>
  <c r="F32" i="1"/>
  <c r="E35" i="1"/>
  <c r="E34" i="1"/>
  <c r="E33" i="1"/>
  <c r="E32" i="1"/>
  <c r="D35" i="1"/>
  <c r="D34" i="1"/>
  <c r="K34" i="1" s="1"/>
  <c r="D33" i="1"/>
  <c r="K33" i="1" s="1"/>
  <c r="D32" i="1"/>
  <c r="K32" i="1" s="1"/>
  <c r="J46" i="2"/>
  <c r="J47" i="2" s="1"/>
  <c r="J16" i="1" l="1"/>
  <c r="J2" i="1"/>
  <c r="J24" i="1"/>
  <c r="B3" i="5"/>
  <c r="C18" i="6"/>
  <c r="G16" i="6"/>
  <c r="L32" i="1"/>
  <c r="I15" i="6"/>
  <c r="E48" i="1"/>
  <c r="G14" i="6"/>
  <c r="K14" i="6" s="1"/>
  <c r="G15" i="6"/>
  <c r="K15" i="6" s="1"/>
  <c r="E13" i="6"/>
  <c r="J13" i="6" s="1"/>
  <c r="I13" i="6"/>
  <c r="E14" i="6"/>
  <c r="J14" i="6" s="1"/>
  <c r="I14" i="6"/>
  <c r="I16" i="6"/>
  <c r="E15" i="6"/>
  <c r="J15" i="6" s="1"/>
  <c r="F13" i="6"/>
  <c r="H13" i="6" s="1"/>
  <c r="E16" i="6"/>
  <c r="J16" i="6" s="1"/>
  <c r="F14" i="6"/>
  <c r="H14" i="6" s="1"/>
  <c r="F15" i="6"/>
  <c r="H15" i="6" s="1"/>
  <c r="F16" i="6"/>
  <c r="H16" i="6" s="1"/>
  <c r="G13" i="6"/>
  <c r="E49" i="1"/>
  <c r="E50" i="1"/>
  <c r="E65" i="2"/>
  <c r="E67" i="2"/>
  <c r="E66" i="2"/>
  <c r="J52" i="2"/>
  <c r="J53" i="2"/>
  <c r="J50" i="2"/>
  <c r="J51" i="2"/>
  <c r="G53" i="2"/>
  <c r="E55" i="2"/>
  <c r="G51" i="2"/>
  <c r="E54" i="2"/>
  <c r="I53" i="2"/>
  <c r="G52" i="2"/>
  <c r="G50" i="2"/>
  <c r="D54" i="2"/>
  <c r="D55" i="2"/>
  <c r="L35" i="1"/>
  <c r="L34" i="1"/>
  <c r="L33" i="1"/>
  <c r="E47" i="1"/>
  <c r="E36" i="1"/>
  <c r="L28" i="1" s="1"/>
  <c r="E37" i="1"/>
  <c r="K35" i="1"/>
  <c r="D36" i="1"/>
  <c r="D37" i="1"/>
  <c r="K16" i="6" l="1"/>
  <c r="C19" i="6"/>
  <c r="K13" i="6"/>
  <c r="F41" i="1"/>
  <c r="C20" i="6"/>
  <c r="L39" i="1"/>
  <c r="L41" i="1" s="1"/>
  <c r="J56" i="2"/>
  <c r="J58" i="2" s="1"/>
  <c r="F58" i="2"/>
  <c r="F56" i="2"/>
  <c r="F39" i="1"/>
</calcChain>
</file>

<file path=xl/sharedStrings.xml><?xml version="1.0" encoding="utf-8"?>
<sst xmlns="http://schemas.openxmlformats.org/spreadsheetml/2006/main" count="653" uniqueCount="163">
  <si>
    <t>DATE</t>
  </si>
  <si>
    <t>JAN 6TH</t>
  </si>
  <si>
    <t>JAN 15TH</t>
  </si>
  <si>
    <t>VWAP</t>
  </si>
  <si>
    <t>WIN OR LOSS</t>
  </si>
  <si>
    <t>FVP  HIGH NODE</t>
  </si>
  <si>
    <t>FVP LOW NODE</t>
  </si>
  <si>
    <t>Y</t>
  </si>
  <si>
    <t>W</t>
  </si>
  <si>
    <t>L</t>
  </si>
  <si>
    <t>N</t>
  </si>
  <si>
    <t xml:space="preserve">FEB 4TH </t>
  </si>
  <si>
    <t>FEB 12TH</t>
  </si>
  <si>
    <t>Y PARTLY</t>
  </si>
  <si>
    <t>RATING</t>
  </si>
  <si>
    <t>C</t>
  </si>
  <si>
    <t>B</t>
  </si>
  <si>
    <t>A</t>
  </si>
  <si>
    <t>D</t>
  </si>
  <si>
    <t>MARCH 11TH</t>
  </si>
  <si>
    <t>APRIL 2ND</t>
  </si>
  <si>
    <t>BUY OR SELL</t>
  </si>
  <si>
    <t>BUY</t>
  </si>
  <si>
    <t>SELL</t>
  </si>
  <si>
    <t>APRIL 8TH</t>
  </si>
  <si>
    <t>MAY 11TH</t>
  </si>
  <si>
    <t>FVP MED NODE</t>
  </si>
  <si>
    <t xml:space="preserve">AGAINST 4HR WICK </t>
  </si>
  <si>
    <t>NEWS WHILE IN TRADE</t>
  </si>
  <si>
    <t>MAY 13TH</t>
  </si>
  <si>
    <t xml:space="preserve">MAY 25TH </t>
  </si>
  <si>
    <t xml:space="preserve">BUY </t>
  </si>
  <si>
    <t>MAY 27TH</t>
  </si>
  <si>
    <t>MAY 29TH</t>
  </si>
  <si>
    <t>JUNE 1ST</t>
  </si>
  <si>
    <t>JUNE 9TH</t>
  </si>
  <si>
    <t>JUNE 11TH</t>
  </si>
  <si>
    <t xml:space="preserve">JUNE 29TH </t>
  </si>
  <si>
    <t xml:space="preserve">JUNE 30TH </t>
  </si>
  <si>
    <t xml:space="preserve">AUGUST 5TH </t>
  </si>
  <si>
    <t xml:space="preserve">AUGUST 7TH </t>
  </si>
  <si>
    <t>SEPT 11TH</t>
  </si>
  <si>
    <t>F</t>
  </si>
  <si>
    <t xml:space="preserve">DEC 11TH </t>
  </si>
  <si>
    <t>DEC 16TH</t>
  </si>
  <si>
    <t xml:space="preserve">DEC 24TH </t>
  </si>
  <si>
    <t>DEC 26TH</t>
  </si>
  <si>
    <t>NOV 5TH</t>
  </si>
  <si>
    <t>OCT 31ST</t>
  </si>
  <si>
    <t xml:space="preserve">OCT 29TH </t>
  </si>
  <si>
    <t>OCT 23RD</t>
  </si>
  <si>
    <t>SEPT 19TH</t>
  </si>
  <si>
    <t>SEPT 3RD</t>
  </si>
  <si>
    <t>AUG 5TH</t>
  </si>
  <si>
    <t>JULY 31ST</t>
  </si>
  <si>
    <t>JULY 15TH</t>
  </si>
  <si>
    <t xml:space="preserve">JULY 8TH </t>
  </si>
  <si>
    <t>JUNE 24TH</t>
  </si>
  <si>
    <t>JUNE 3RD</t>
  </si>
  <si>
    <t>MAY 30TH</t>
  </si>
  <si>
    <t>MAY 21ST</t>
  </si>
  <si>
    <t xml:space="preserve">MAY 1ST </t>
  </si>
  <si>
    <t>APRIL 25TH</t>
  </si>
  <si>
    <t>APRIL 21ST</t>
  </si>
  <si>
    <t>MARCH 31ST</t>
  </si>
  <si>
    <t>MARCH 27TH</t>
  </si>
  <si>
    <t>MARCH 26TH</t>
  </si>
  <si>
    <t>LOSS</t>
  </si>
  <si>
    <t>AMOUNT</t>
  </si>
  <si>
    <t>A TRADES</t>
  </si>
  <si>
    <t xml:space="preserve">WINS </t>
  </si>
  <si>
    <t>FEB 21ST</t>
  </si>
  <si>
    <t>FEB 19TH</t>
  </si>
  <si>
    <t>FEB 17TH</t>
  </si>
  <si>
    <t>FEB 14TH</t>
  </si>
  <si>
    <t>FEB 6TH</t>
  </si>
  <si>
    <t xml:space="preserve">JAN 27TH </t>
  </si>
  <si>
    <t>JAN 3RD</t>
  </si>
  <si>
    <t>B TRADES</t>
  </si>
  <si>
    <t>WIN RATE</t>
  </si>
  <si>
    <t>C TRADES</t>
  </si>
  <si>
    <t xml:space="preserve">D &amp; F TRADES </t>
  </si>
  <si>
    <t>WIN</t>
  </si>
  <si>
    <t>R:R</t>
  </si>
  <si>
    <t xml:space="preserve">DEC 22ND </t>
  </si>
  <si>
    <t>DEC 1ST</t>
  </si>
  <si>
    <t>NOV 16TH</t>
  </si>
  <si>
    <t xml:space="preserve">NOV 8TH </t>
  </si>
  <si>
    <t>NOV 2ND</t>
  </si>
  <si>
    <t>NOV 1ST</t>
  </si>
  <si>
    <t>RISK ON ALL TRADES</t>
  </si>
  <si>
    <t>20% MAX DD</t>
  </si>
  <si>
    <t>ADJUSTED RISKS</t>
  </si>
  <si>
    <t>ADJUSTED RISK PER TRADE WINS - LOSSES</t>
  </si>
  <si>
    <t>ROI BEFORE LOSSES</t>
  </si>
  <si>
    <t>ROI AFTER LOSSES</t>
  </si>
  <si>
    <t xml:space="preserve"> SUM J50-J53</t>
  </si>
  <si>
    <t xml:space="preserve">ACTUAL ADJ NET ROI </t>
  </si>
  <si>
    <t>WIN RATE BEFORE ADJ (A-FTRADES)</t>
  </si>
  <si>
    <t>WIN RATE AFTER ADJ (A-C) trades</t>
  </si>
  <si>
    <t>ROI</t>
  </si>
  <si>
    <t>JULY 31TH</t>
  </si>
  <si>
    <t>ROI BEFORE L</t>
  </si>
  <si>
    <t>ROI AFTER L</t>
  </si>
  <si>
    <t xml:space="preserve">ADJ RISK </t>
  </si>
  <si>
    <t>WINS RETURN 1R PER TRADE</t>
  </si>
  <si>
    <t>SETUP RATING</t>
  </si>
  <si>
    <t>D&amp;F TRADES</t>
  </si>
  <si>
    <t>SUMS A-F</t>
  </si>
  <si>
    <t xml:space="preserve">ADJ ROI </t>
  </si>
  <si>
    <t>Max Win streak</t>
  </si>
  <si>
    <t>ADJ RISK PER TRADE WINS - LOSSES/ NET ROI</t>
  </si>
  <si>
    <t xml:space="preserve">NET ADJ ROI </t>
  </si>
  <si>
    <t>WINS RETURN 1 R PER TRADE BEFORE LOSSES</t>
  </si>
  <si>
    <t>16% INCREASE</t>
  </si>
  <si>
    <t>OCT 20TH</t>
  </si>
  <si>
    <t>OCT 19TH</t>
  </si>
  <si>
    <t>SEP 23RD</t>
  </si>
  <si>
    <t>SEP 16TH</t>
  </si>
  <si>
    <t>SEP 8TH</t>
  </si>
  <si>
    <t xml:space="preserve">SEP 7TH </t>
  </si>
  <si>
    <t>SEP 5TH</t>
  </si>
  <si>
    <t>SEP 1ST</t>
  </si>
  <si>
    <t>AUG 24TH</t>
  </si>
  <si>
    <t xml:space="preserve">AUG 9TH </t>
  </si>
  <si>
    <t xml:space="preserve">AUG 4TH </t>
  </si>
  <si>
    <t>AUG 1ST</t>
  </si>
  <si>
    <t>CUMULATIVE ROI</t>
  </si>
  <si>
    <t>Cumulative ROI</t>
  </si>
  <si>
    <t>JULY 1ST</t>
  </si>
  <si>
    <t>JUNE 29TH</t>
  </si>
  <si>
    <t>A*</t>
  </si>
  <si>
    <t>JUNE 21ST</t>
  </si>
  <si>
    <t>Starting Capital</t>
  </si>
  <si>
    <t>Risk Per trade  $</t>
  </si>
  <si>
    <t>Risk Per trade  %</t>
  </si>
  <si>
    <t>Model Horizon ( Trades)</t>
  </si>
  <si>
    <t>TRADE PROFIT / LOSS</t>
  </si>
  <si>
    <t>ACCOUNT BALANCE</t>
  </si>
  <si>
    <t>Base Case (Actual Portfolio Balance)</t>
  </si>
  <si>
    <t>Optimized Case (Filter D/F Setups)</t>
  </si>
  <si>
    <t>Stress Test (-10% Win Rate)</t>
  </si>
  <si>
    <t>Ending Portfolio Value</t>
  </si>
  <si>
    <t>Net Dollar Return</t>
  </si>
  <si>
    <t>Total Return (%)</t>
  </si>
  <si>
    <t>Overall Win Rate</t>
  </si>
  <si>
    <t>===============================================================</t>
  </si>
  <si>
    <t>FINANCIAL MODEL &amp; TRADING PERFORMANCE ANALYTICS DASHBOARD</t>
  </si>
  <si>
    <t>1. OVERVIEW</t>
  </si>
  <si>
    <t xml:space="preserve">   - Capital Base: $100,000 starting portfolio balance.</t>
  </si>
  <si>
    <t xml:space="preserve">   - Fixed Risk Model: 1% risk per trade execution ($1,000 / 1R).</t>
  </si>
  <si>
    <t xml:space="preserve">   - Core Instrument: 2026 US30 Execution Log.</t>
  </si>
  <si>
    <t>2. WORKBOOK ARCHITECTURE</t>
  </si>
  <si>
    <t xml:space="preserve">   - Executive Dashboard: High-level C-Suite KPI metrics, portfolio equity curve, and setup performance breakdown.</t>
  </si>
  <si>
    <t xml:space="preserve">   - Financial Modelling: Dynamic financial inputs, tier-based performance distribution, and 3-scenario stress testing.</t>
  </si>
  <si>
    <t xml:space="preserve">   - 2026 US30: Core operational trade log with R-multipliers, position sizing, dollar profit/loss, and compounding balance engine.</t>
  </si>
  <si>
    <t xml:space="preserve">   - README: Model documentation, structure overview, and methodology.</t>
  </si>
  <si>
    <t>3. SCENARIO ANALYSIS FRAMEWORK</t>
  </si>
  <si>
    <t xml:space="preserve">   - Base Case: Reflects raw actual trading execution performance ($116,500.00).</t>
  </si>
  <si>
    <t xml:space="preserve">   - Optimized Case: Simulates performance by excluding low-expectancy sub-tier setups ($118,000.00).</t>
  </si>
  <si>
    <t xml:space="preserve">   - Stress Case: Evaluates portfolio resilience by simulating a 10% win-rate reduction ($114,100.00).</t>
  </si>
  <si>
    <t>WIN RATE % (VLOOKUP)</t>
  </si>
  <si>
    <t>ADJ RISK (XLOOKUP)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</si>
</sst>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164" formatCode="0.0%"/>
    <numFmt numFmtId="169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6" fontId="0" fillId="0" borderId="0" xfId="0" applyNumberFormat="1"/>
    <xf numFmtId="44" fontId="0" fillId="0" borderId="0" xfId="1" applyFont="1"/>
    <xf numFmtId="9" fontId="0" fillId="0" borderId="0" xfId="2" applyFont="1"/>
    <xf numFmtId="44" fontId="0" fillId="0" borderId="0" xfId="0" applyNumberFormat="1"/>
    <xf numFmtId="42" fontId="0" fillId="0" borderId="0" xfId="1" applyNumberFormat="1" applyFont="1"/>
    <xf numFmtId="0" fontId="2" fillId="0" borderId="0" xfId="0" applyFont="1"/>
    <xf numFmtId="164" fontId="0" fillId="0" borderId="0" xfId="2" applyNumberFormat="1" applyFont="1"/>
    <xf numFmtId="0" fontId="0" fillId="0" borderId="0" xfId="0" applyAlignment="1">
      <alignment wrapText="1"/>
    </xf>
    <xf numFmtId="169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'2026 US30'!$E$46</c:f>
              <c:strCache>
                <c:ptCount val="1"/>
                <c:pt idx="0">
                  <c:v>ADJ RISK PER TRADE WINS - LOSSES/ NET ROI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4A6-4EBB-90DD-466CECD811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4A6-4EBB-90DD-466CECD8119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4A6-4EBB-90DD-466CECD8119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4A6-4EBB-90DD-466CECD8119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'2026 US30'!$D$47:$D$50</c:f>
              <c:strCache>
                <c:ptCount val="4"/>
                <c:pt idx="0">
                  <c:v>A TRADES</c:v>
                </c:pt>
                <c:pt idx="1">
                  <c:v>B TRADES</c:v>
                </c:pt>
                <c:pt idx="2">
                  <c:v>C TRADES</c:v>
                </c:pt>
                <c:pt idx="3">
                  <c:v>D&amp;F TRADES</c:v>
                </c:pt>
              </c:strCache>
            </c:strRef>
          </c:cat>
          <c:val>
            <c:numRef>
              <c:f>'2026 US30'!$E$47:$E$50</c:f>
              <c:numCache>
                <c:formatCode>General</c:formatCode>
                <c:ptCount val="4"/>
                <c:pt idx="0">
                  <c:v>15</c:v>
                </c:pt>
                <c:pt idx="1">
                  <c:v>3.5</c:v>
                </c:pt>
                <c:pt idx="2">
                  <c:v>2</c:v>
                </c:pt>
                <c:pt idx="3">
                  <c:v>-0.85000000000000009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32-46F6-88DB-4D079779CE9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'2026 US30'!$M$1</c:f>
              <c:strCache>
                <c:ptCount val="1"/>
                <c:pt idx="0">
                  <c:v>Cumulative ROI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'2026 US30'!$A$2:$A$25</c:f>
              <c:strCache>
                <c:ptCount val="24"/>
                <c:pt idx="0">
                  <c:v>JAN 6TH</c:v>
                </c:pt>
                <c:pt idx="1">
                  <c:v>JAN 15TH</c:v>
                </c:pt>
                <c:pt idx="2">
                  <c:v>FEB 4TH </c:v>
                </c:pt>
                <c:pt idx="3">
                  <c:v>FEB 4TH </c:v>
                </c:pt>
                <c:pt idx="4">
                  <c:v>FEB 12TH</c:v>
                </c:pt>
                <c:pt idx="5">
                  <c:v>MARCH 11TH</c:v>
                </c:pt>
                <c:pt idx="6">
                  <c:v>APRIL 2ND</c:v>
                </c:pt>
                <c:pt idx="7">
                  <c:v>APRIL 8TH</c:v>
                </c:pt>
                <c:pt idx="8">
                  <c:v>MAY 11TH</c:v>
                </c:pt>
                <c:pt idx="9">
                  <c:v>MAY 11TH</c:v>
                </c:pt>
                <c:pt idx="10">
                  <c:v>MAY 13TH</c:v>
                </c:pt>
                <c:pt idx="11">
                  <c:v>MAY 25TH </c:v>
                </c:pt>
                <c:pt idx="12">
                  <c:v>MAY 27TH</c:v>
                </c:pt>
                <c:pt idx="13">
                  <c:v>MAY 29TH</c:v>
                </c:pt>
                <c:pt idx="14">
                  <c:v>JUNE 1ST</c:v>
                </c:pt>
                <c:pt idx="15">
                  <c:v>JUNE 9TH</c:v>
                </c:pt>
                <c:pt idx="16">
                  <c:v>JUNE 11TH</c:v>
                </c:pt>
                <c:pt idx="17">
                  <c:v>JUNE 11TH</c:v>
                </c:pt>
                <c:pt idx="18">
                  <c:v>JUNE 29TH </c:v>
                </c:pt>
                <c:pt idx="19">
                  <c:v>JUNE 30TH </c:v>
                </c:pt>
                <c:pt idx="20">
                  <c:v>JULY 31TH</c:v>
                </c:pt>
                <c:pt idx="21">
                  <c:v>AUGUST 5TH </c:v>
                </c:pt>
                <c:pt idx="22">
                  <c:v>AUGUST 7TH </c:v>
                </c:pt>
                <c:pt idx="23">
                  <c:v>SEPT 11TH</c:v>
                </c:pt>
              </c:strCache>
            </c:strRef>
          </c:cat>
          <c:val>
            <c:numRef>
              <c:f>'2026 US30'!$M$2:$M$25</c:f>
              <c:numCache>
                <c:formatCode>General</c:formatCode>
                <c:ptCount val="24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  <c:pt idx="5">
                  <c:v>6</c:v>
                </c:pt>
                <c:pt idx="6">
                  <c:v>8</c:v>
                </c:pt>
                <c:pt idx="7">
                  <c:v>10</c:v>
                </c:pt>
                <c:pt idx="8">
                  <c:v>9</c:v>
                </c:pt>
                <c:pt idx="9">
                  <c:v>8</c:v>
                </c:pt>
                <c:pt idx="10">
                  <c:v>11.5</c:v>
                </c:pt>
                <c:pt idx="11">
                  <c:v>10.5</c:v>
                </c:pt>
                <c:pt idx="12">
                  <c:v>14</c:v>
                </c:pt>
                <c:pt idx="13">
                  <c:v>16</c:v>
                </c:pt>
                <c:pt idx="14">
                  <c:v>15</c:v>
                </c:pt>
                <c:pt idx="15">
                  <c:v>14</c:v>
                </c:pt>
                <c:pt idx="16">
                  <c:v>13</c:v>
                </c:pt>
                <c:pt idx="17">
                  <c:v>15</c:v>
                </c:pt>
                <c:pt idx="18">
                  <c:v>14</c:v>
                </c:pt>
                <c:pt idx="19">
                  <c:v>13</c:v>
                </c:pt>
                <c:pt idx="20">
                  <c:v>15</c:v>
                </c:pt>
                <c:pt idx="21">
                  <c:v>18.5</c:v>
                </c:pt>
                <c:pt idx="22">
                  <c:v>17.5</c:v>
                </c:pt>
                <c:pt idx="23">
                  <c:v>16.5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54-4845-8866-B25640775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1818959"/>
        <c:axId val="191264510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'2026 US30'!$L$1</c15:sqref>
                        </c15:formulaRef>
                      </c:ext>
                    </c:extLst>
                    <c:strCache>
                      <c:ptCount val="1"/>
                      <c:pt idx="0">
                        <c:v>ROI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'2026 US30'!$A$2:$A$25</c15:sqref>
                        </c15:formulaRef>
                      </c:ext>
                    </c:extLst>
                    <c:strCache>
                      <c:ptCount val="24"/>
                      <c:pt idx="0">
                        <c:v>JAN 6TH</c:v>
                      </c:pt>
                      <c:pt idx="1">
                        <c:v>JAN 15TH</c:v>
                      </c:pt>
                      <c:pt idx="2">
                        <c:v>FEB 4TH </c:v>
                      </c:pt>
                      <c:pt idx="3">
                        <c:v>FEB 4TH </c:v>
                      </c:pt>
                      <c:pt idx="4">
                        <c:v>FEB 12TH</c:v>
                      </c:pt>
                      <c:pt idx="5">
                        <c:v>MARCH 11TH</c:v>
                      </c:pt>
                      <c:pt idx="6">
                        <c:v>APRIL 2ND</c:v>
                      </c:pt>
                      <c:pt idx="7">
                        <c:v>APRIL 8TH</c:v>
                      </c:pt>
                      <c:pt idx="8">
                        <c:v>MAY 11TH</c:v>
                      </c:pt>
                      <c:pt idx="9">
                        <c:v>MAY 11TH</c:v>
                      </c:pt>
                      <c:pt idx="10">
                        <c:v>MAY 13TH</c:v>
                      </c:pt>
                      <c:pt idx="11">
                        <c:v>MAY 25TH </c:v>
                      </c:pt>
                      <c:pt idx="12">
                        <c:v>MAY 27TH</c:v>
                      </c:pt>
                      <c:pt idx="13">
                        <c:v>MAY 29TH</c:v>
                      </c:pt>
                      <c:pt idx="14">
                        <c:v>JUNE 1ST</c:v>
                      </c:pt>
                      <c:pt idx="15">
                        <c:v>JUNE 9TH</c:v>
                      </c:pt>
                      <c:pt idx="16">
                        <c:v>JUNE 11TH</c:v>
                      </c:pt>
                      <c:pt idx="17">
                        <c:v>JUNE 11TH</c:v>
                      </c:pt>
                      <c:pt idx="18">
                        <c:v>JUNE 29TH </c:v>
                      </c:pt>
                      <c:pt idx="19">
                        <c:v>JUNE 30TH </c:v>
                      </c:pt>
                      <c:pt idx="20">
                        <c:v>JULY 31TH</c:v>
                      </c:pt>
                      <c:pt idx="21">
                        <c:v>AUGUST 5TH </c:v>
                      </c:pt>
                      <c:pt idx="22">
                        <c:v>AUGUST 7TH </c:v>
                      </c:pt>
                      <c:pt idx="23">
                        <c:v>SEPT 11TH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'2026 US30'!$L$2:$L$25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2</c:v>
                      </c:pt>
                      <c:pt idx="1">
                        <c:v>2</c:v>
                      </c:pt>
                      <c:pt idx="2">
                        <c:v>-1</c:v>
                      </c:pt>
                      <c:pt idx="3">
                        <c:v>2</c:v>
                      </c:pt>
                      <c:pt idx="4">
                        <c:v>-1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-1</c:v>
                      </c:pt>
                      <c:pt idx="9">
                        <c:v>-1</c:v>
                      </c:pt>
                      <c:pt idx="10">
                        <c:v>3.5</c:v>
                      </c:pt>
                      <c:pt idx="11">
                        <c:v>-1</c:v>
                      </c:pt>
                      <c:pt idx="12">
                        <c:v>3.5</c:v>
                      </c:pt>
                      <c:pt idx="13">
                        <c:v>2</c:v>
                      </c:pt>
                      <c:pt idx="14">
                        <c:v>-1</c:v>
                      </c:pt>
                      <c:pt idx="15">
                        <c:v>-1</c:v>
                      </c:pt>
                      <c:pt idx="16">
                        <c:v>-1</c:v>
                      </c:pt>
                      <c:pt idx="17">
                        <c:v>2</c:v>
                      </c:pt>
                      <c:pt idx="18">
                        <c:v>-1</c:v>
                      </c:pt>
                      <c:pt idx="19">
                        <c:v>-1</c:v>
                      </c:pt>
                      <c:pt idx="20">
                        <c:v>2</c:v>
                      </c:pt>
                      <c:pt idx="21">
                        <c:v>3.5</c:v>
                      </c:pt>
                      <c:pt idx="22">
                        <c:v>-1</c:v>
                      </c:pt>
                      <c:pt idx="23">
                        <c:v>-1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254-4845-8866-B25640775CBA}"/>
                  </c:ext>
                </c:extLst>
              </c15:ser>
            </c15:filteredLineSeries>
          </c:ext>
        </c:extLst>
      </c:lineChart>
      <c:catAx>
        <c:axId val="202181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645103"/>
        <c:crosses val="autoZero"/>
        <c:auto val="1"/>
        <c:lblAlgn val="ctr"/>
        <c:lblOffset val="100"/>
        <c:noMultiLvlLbl val="0"/>
      </c:catAx>
      <c:valAx>
        <c:axId val="191264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818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'2026 US30'!$M$1</c:f>
              <c:strCache>
                <c:ptCount val="1"/>
                <c:pt idx="0">
                  <c:v>Cumulative ROI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'2026 US30'!$A$2:$A$25</c:f>
              <c:strCache>
                <c:ptCount val="24"/>
                <c:pt idx="0">
                  <c:v>JAN 6TH</c:v>
                </c:pt>
                <c:pt idx="1">
                  <c:v>JAN 15TH</c:v>
                </c:pt>
                <c:pt idx="2">
                  <c:v>FEB 4TH </c:v>
                </c:pt>
                <c:pt idx="3">
                  <c:v>FEB 4TH </c:v>
                </c:pt>
                <c:pt idx="4">
                  <c:v>FEB 12TH</c:v>
                </c:pt>
                <c:pt idx="5">
                  <c:v>MARCH 11TH</c:v>
                </c:pt>
                <c:pt idx="6">
                  <c:v>APRIL 2ND</c:v>
                </c:pt>
                <c:pt idx="7">
                  <c:v>APRIL 8TH</c:v>
                </c:pt>
                <c:pt idx="8">
                  <c:v>MAY 11TH</c:v>
                </c:pt>
                <c:pt idx="9">
                  <c:v>MAY 11TH</c:v>
                </c:pt>
                <c:pt idx="10">
                  <c:v>MAY 13TH</c:v>
                </c:pt>
                <c:pt idx="11">
                  <c:v>MAY 25TH </c:v>
                </c:pt>
                <c:pt idx="12">
                  <c:v>MAY 27TH</c:v>
                </c:pt>
                <c:pt idx="13">
                  <c:v>MAY 29TH</c:v>
                </c:pt>
                <c:pt idx="14">
                  <c:v>JUNE 1ST</c:v>
                </c:pt>
                <c:pt idx="15">
                  <c:v>JUNE 9TH</c:v>
                </c:pt>
                <c:pt idx="16">
                  <c:v>JUNE 11TH</c:v>
                </c:pt>
                <c:pt idx="17">
                  <c:v>JUNE 11TH</c:v>
                </c:pt>
                <c:pt idx="18">
                  <c:v>JUNE 29TH </c:v>
                </c:pt>
                <c:pt idx="19">
                  <c:v>JUNE 30TH </c:v>
                </c:pt>
                <c:pt idx="20">
                  <c:v>JULY 31TH</c:v>
                </c:pt>
                <c:pt idx="21">
                  <c:v>AUGUST 5TH </c:v>
                </c:pt>
                <c:pt idx="22">
                  <c:v>AUGUST 7TH </c:v>
                </c:pt>
                <c:pt idx="23">
                  <c:v>SEPT 11TH</c:v>
                </c:pt>
              </c:strCache>
            </c:strRef>
          </c:cat>
          <c:val>
            <c:numRef>
              <c:f>'2026 US30'!$M$2:$M$25</c:f>
              <c:numCache>
                <c:formatCode>General</c:formatCode>
                <c:ptCount val="24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  <c:pt idx="5">
                  <c:v>6</c:v>
                </c:pt>
                <c:pt idx="6">
                  <c:v>8</c:v>
                </c:pt>
                <c:pt idx="7">
                  <c:v>10</c:v>
                </c:pt>
                <c:pt idx="8">
                  <c:v>9</c:v>
                </c:pt>
                <c:pt idx="9">
                  <c:v>8</c:v>
                </c:pt>
                <c:pt idx="10">
                  <c:v>11.5</c:v>
                </c:pt>
                <c:pt idx="11">
                  <c:v>10.5</c:v>
                </c:pt>
                <c:pt idx="12">
                  <c:v>14</c:v>
                </c:pt>
                <c:pt idx="13">
                  <c:v>16</c:v>
                </c:pt>
                <c:pt idx="14">
                  <c:v>15</c:v>
                </c:pt>
                <c:pt idx="15">
                  <c:v>14</c:v>
                </c:pt>
                <c:pt idx="16">
                  <c:v>13</c:v>
                </c:pt>
                <c:pt idx="17">
                  <c:v>15</c:v>
                </c:pt>
                <c:pt idx="18">
                  <c:v>14</c:v>
                </c:pt>
                <c:pt idx="19">
                  <c:v>13</c:v>
                </c:pt>
                <c:pt idx="20">
                  <c:v>15</c:v>
                </c:pt>
                <c:pt idx="21">
                  <c:v>18.5</c:v>
                </c:pt>
                <c:pt idx="22">
                  <c:v>17.5</c:v>
                </c:pt>
                <c:pt idx="23">
                  <c:v>16.5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15-4D85-9B87-5182F6B01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1818959"/>
        <c:axId val="191264510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'2026 US30'!$L$1</c15:sqref>
                        </c15:formulaRef>
                      </c:ext>
                    </c:extLst>
                    <c:strCache>
                      <c:ptCount val="1"/>
                      <c:pt idx="0">
                        <c:v>ROI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'2026 US30'!$A$2:$A$25</c15:sqref>
                        </c15:formulaRef>
                      </c:ext>
                    </c:extLst>
                    <c:strCache>
                      <c:ptCount val="24"/>
                      <c:pt idx="0">
                        <c:v>JAN 6TH</c:v>
                      </c:pt>
                      <c:pt idx="1">
                        <c:v>JAN 15TH</c:v>
                      </c:pt>
                      <c:pt idx="2">
                        <c:v>FEB 4TH </c:v>
                      </c:pt>
                      <c:pt idx="3">
                        <c:v>FEB 4TH </c:v>
                      </c:pt>
                      <c:pt idx="4">
                        <c:v>FEB 12TH</c:v>
                      </c:pt>
                      <c:pt idx="5">
                        <c:v>MARCH 11TH</c:v>
                      </c:pt>
                      <c:pt idx="6">
                        <c:v>APRIL 2ND</c:v>
                      </c:pt>
                      <c:pt idx="7">
                        <c:v>APRIL 8TH</c:v>
                      </c:pt>
                      <c:pt idx="8">
                        <c:v>MAY 11TH</c:v>
                      </c:pt>
                      <c:pt idx="9">
                        <c:v>MAY 11TH</c:v>
                      </c:pt>
                      <c:pt idx="10">
                        <c:v>MAY 13TH</c:v>
                      </c:pt>
                      <c:pt idx="11">
                        <c:v>MAY 25TH </c:v>
                      </c:pt>
                      <c:pt idx="12">
                        <c:v>MAY 27TH</c:v>
                      </c:pt>
                      <c:pt idx="13">
                        <c:v>MAY 29TH</c:v>
                      </c:pt>
                      <c:pt idx="14">
                        <c:v>JUNE 1ST</c:v>
                      </c:pt>
                      <c:pt idx="15">
                        <c:v>JUNE 9TH</c:v>
                      </c:pt>
                      <c:pt idx="16">
                        <c:v>JUNE 11TH</c:v>
                      </c:pt>
                      <c:pt idx="17">
                        <c:v>JUNE 11TH</c:v>
                      </c:pt>
                      <c:pt idx="18">
                        <c:v>JUNE 29TH </c:v>
                      </c:pt>
                      <c:pt idx="19">
                        <c:v>JUNE 30TH </c:v>
                      </c:pt>
                      <c:pt idx="20">
                        <c:v>JULY 31TH</c:v>
                      </c:pt>
                      <c:pt idx="21">
                        <c:v>AUGUST 5TH </c:v>
                      </c:pt>
                      <c:pt idx="22">
                        <c:v>AUGUST 7TH </c:v>
                      </c:pt>
                      <c:pt idx="23">
                        <c:v>SEPT 11TH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'2026 US30'!$L$2:$L$25</c15:sqref>
                        </c15:formulaRef>
                      </c:ext>
                    </c:extLst>
                    <c:numCache>
                      <c:formatCode>General</c:formatCode>
                      <c:ptCount val="24"/>
                      <c:pt idx="0">
                        <c:v>2</c:v>
                      </c:pt>
                      <c:pt idx="1">
                        <c:v>2</c:v>
                      </c:pt>
                      <c:pt idx="2">
                        <c:v>-1</c:v>
                      </c:pt>
                      <c:pt idx="3">
                        <c:v>2</c:v>
                      </c:pt>
                      <c:pt idx="4">
                        <c:v>-1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-1</c:v>
                      </c:pt>
                      <c:pt idx="9">
                        <c:v>-1</c:v>
                      </c:pt>
                      <c:pt idx="10">
                        <c:v>3.5</c:v>
                      </c:pt>
                      <c:pt idx="11">
                        <c:v>-1</c:v>
                      </c:pt>
                      <c:pt idx="12">
                        <c:v>3.5</c:v>
                      </c:pt>
                      <c:pt idx="13">
                        <c:v>2</c:v>
                      </c:pt>
                      <c:pt idx="14">
                        <c:v>-1</c:v>
                      </c:pt>
                      <c:pt idx="15">
                        <c:v>-1</c:v>
                      </c:pt>
                      <c:pt idx="16">
                        <c:v>-1</c:v>
                      </c:pt>
                      <c:pt idx="17">
                        <c:v>2</c:v>
                      </c:pt>
                      <c:pt idx="18">
                        <c:v>-1</c:v>
                      </c:pt>
                      <c:pt idx="19">
                        <c:v>-1</c:v>
                      </c:pt>
                      <c:pt idx="20">
                        <c:v>2</c:v>
                      </c:pt>
                      <c:pt idx="21">
                        <c:v>3.5</c:v>
                      </c:pt>
                      <c:pt idx="22">
                        <c:v>-1</c:v>
                      </c:pt>
                      <c:pt idx="23">
                        <c:v>-1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C15-4D85-9B87-5182F6B01B0C}"/>
                  </c:ext>
                </c:extLst>
              </c15:ser>
            </c15:filteredLineSeries>
          </c:ext>
        </c:extLst>
      </c:lineChart>
      <c:catAx>
        <c:axId val="202181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645103"/>
        <c:crosses val="autoZero"/>
        <c:auto val="1"/>
        <c:lblAlgn val="ctr"/>
        <c:lblOffset val="100"/>
        <c:noMultiLvlLbl val="0"/>
      </c:catAx>
      <c:valAx>
        <c:axId val="191264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818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507999606845261E-2"/>
          <c:y val="2.5786477394551033E-2"/>
          <c:w val="0.90310919872879969"/>
          <c:h val="0.774225352112676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'Financial Modelling '!$I$12</c:f>
              <c:strCache>
                <c:ptCount val="1"/>
                <c:pt idx="0">
                  <c:v>WINS RETURN 1 R PER TRADE BEFORE LOSSES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'Financial Modelling '!$D$13:$D$16</c:f>
              <c:strCache>
                <c:ptCount val="4"/>
                <c:pt idx="0">
                  <c:v>A TRADES</c:v>
                </c:pt>
                <c:pt idx="1">
                  <c:v>B TRADES</c:v>
                </c:pt>
                <c:pt idx="2">
                  <c:v>C TRADES</c:v>
                </c:pt>
                <c:pt idx="3">
                  <c:v>D&amp;F TRADES</c:v>
                </c:pt>
              </c:strCache>
            </c:strRef>
          </c:cat>
          <c:val>
            <c:numRef>
              <c:f>'Financial Modelling '!$I$13:$I$16</c:f>
              <c:numCache>
                <c:formatCode>General</c:formatCode>
                <c:ptCount val="4"/>
                <c:pt idx="0">
                  <c:v>8.5</c:v>
                </c:pt>
                <c:pt idx="1">
                  <c:v>7.5</c:v>
                </c:pt>
                <c:pt idx="2">
                  <c:v>2</c:v>
                </c:pt>
                <c:pt idx="3">
                  <c:v>-1.5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B0-4144-9F56-EB5872A32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2791024"/>
        <c:axId val="536134064"/>
      </c:barChart>
      <c:catAx>
        <c:axId val="622791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134064"/>
        <c:crosses val="autoZero"/>
        <c:auto val="1"/>
        <c:lblAlgn val="ctr"/>
        <c:lblOffset val="100"/>
        <c:noMultiLvlLbl val="0"/>
      </c:catAx>
      <c:valAx>
        <c:axId val="53613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791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'2025 US 30'!$E$63</c:f>
              <c:strCache>
                <c:ptCount val="1"/>
                <c:pt idx="0">
                  <c:v>ADJUSTED RISK PER TRADE WINS - LOSSES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F91-4765-B938-68842A2BCE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F91-4765-B938-68842A2BCE6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F91-4765-B938-68842A2BCE6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F91-4765-B938-68842A2BCE66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'2025 US 30'!$D$64:$D$67</c:f>
              <c:strCache>
                <c:ptCount val="4"/>
                <c:pt idx="0">
                  <c:v>A TRADES</c:v>
                </c:pt>
                <c:pt idx="1">
                  <c:v>B TRADES</c:v>
                </c:pt>
                <c:pt idx="2">
                  <c:v>C TRADES</c:v>
                </c:pt>
                <c:pt idx="3">
                  <c:v>D &amp; F TRADES </c:v>
                </c:pt>
              </c:strCache>
            </c:strRef>
          </c:cat>
          <c:val>
            <c:numRef>
              <c:f>'2025 US 30'!$E$64:$E$67</c:f>
              <c:numCache>
                <c:formatCode>General</c:formatCode>
                <c:ptCount val="4"/>
                <c:pt idx="0">
                  <c:v>22</c:v>
                </c:pt>
                <c:pt idx="1">
                  <c:v>12.5</c:v>
                </c:pt>
                <c:pt idx="2">
                  <c:v>5</c:v>
                </c:pt>
                <c:pt idx="3">
                  <c:v>-0.5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8-495F-87A1-28459A80E30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'2025 US 30'!$K$1</c:f>
              <c:strCache>
                <c:ptCount val="1"/>
                <c:pt idx="0">
                  <c:v>CUMULATIVE ROI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 US 30'!$A$2:$A$39</c:f>
              <c:strCache>
                <c:ptCount val="38"/>
                <c:pt idx="0">
                  <c:v>DEC 11TH </c:v>
                </c:pt>
                <c:pt idx="1">
                  <c:v>DEC 16TH</c:v>
                </c:pt>
                <c:pt idx="2">
                  <c:v>DEC 24TH </c:v>
                </c:pt>
                <c:pt idx="3">
                  <c:v>DEC 26TH</c:v>
                </c:pt>
                <c:pt idx="4">
                  <c:v>NOV 5TH</c:v>
                </c:pt>
                <c:pt idx="5">
                  <c:v>OCT 31ST</c:v>
                </c:pt>
                <c:pt idx="6">
                  <c:v>OCT 29TH </c:v>
                </c:pt>
                <c:pt idx="7">
                  <c:v>OCT 23RD</c:v>
                </c:pt>
                <c:pt idx="8">
                  <c:v>SEPT 19TH</c:v>
                </c:pt>
                <c:pt idx="9">
                  <c:v>SEPT 11TH</c:v>
                </c:pt>
                <c:pt idx="10">
                  <c:v>SEPT 3RD</c:v>
                </c:pt>
                <c:pt idx="11">
                  <c:v>AUG 5TH</c:v>
                </c:pt>
                <c:pt idx="12">
                  <c:v>AUG 5TH</c:v>
                </c:pt>
                <c:pt idx="13">
                  <c:v>JULY 31ST</c:v>
                </c:pt>
                <c:pt idx="14">
                  <c:v>JULY 31ST</c:v>
                </c:pt>
                <c:pt idx="15">
                  <c:v>JULY 15TH</c:v>
                </c:pt>
                <c:pt idx="16">
                  <c:v>JULY 8TH </c:v>
                </c:pt>
                <c:pt idx="17">
                  <c:v>JUNE 24TH</c:v>
                </c:pt>
                <c:pt idx="18">
                  <c:v>JUNE 24TH</c:v>
                </c:pt>
                <c:pt idx="19">
                  <c:v>JUNE 3RD</c:v>
                </c:pt>
                <c:pt idx="20">
                  <c:v>MAY 30TH</c:v>
                </c:pt>
                <c:pt idx="21">
                  <c:v>MAY 29TH</c:v>
                </c:pt>
                <c:pt idx="22">
                  <c:v>MAY 21ST</c:v>
                </c:pt>
                <c:pt idx="23">
                  <c:v>MAY 13TH</c:v>
                </c:pt>
                <c:pt idx="24">
                  <c:v>MAY 1ST </c:v>
                </c:pt>
                <c:pt idx="25">
                  <c:v>APRIL 25TH</c:v>
                </c:pt>
                <c:pt idx="26">
                  <c:v>APRIL 21ST</c:v>
                </c:pt>
                <c:pt idx="27">
                  <c:v>MARCH 31ST</c:v>
                </c:pt>
                <c:pt idx="28">
                  <c:v>MARCH 27TH</c:v>
                </c:pt>
                <c:pt idx="29">
                  <c:v>MARCH 26TH</c:v>
                </c:pt>
                <c:pt idx="30">
                  <c:v>FEB 21ST</c:v>
                </c:pt>
                <c:pt idx="31">
                  <c:v>FEB 19TH</c:v>
                </c:pt>
                <c:pt idx="32">
                  <c:v>FEB 17TH</c:v>
                </c:pt>
                <c:pt idx="33">
                  <c:v>FEB 14TH</c:v>
                </c:pt>
                <c:pt idx="34">
                  <c:v>FEB 6TH</c:v>
                </c:pt>
                <c:pt idx="35">
                  <c:v>JAN 27TH </c:v>
                </c:pt>
                <c:pt idx="36">
                  <c:v>JAN 3RD</c:v>
                </c:pt>
                <c:pt idx="37">
                  <c:v>JAN 3RD</c:v>
                </c:pt>
              </c:strCache>
            </c:strRef>
          </c:cat>
          <c:val>
            <c:numRef>
              <c:f>'2025 US 30'!$K$2:$K$39</c:f>
              <c:numCache>
                <c:formatCode>General</c:formatCode>
                <c:ptCount val="38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  <c:pt idx="6">
                  <c:v>3.5</c:v>
                </c:pt>
                <c:pt idx="7">
                  <c:v>7</c:v>
                </c:pt>
                <c:pt idx="8">
                  <c:v>6</c:v>
                </c:pt>
                <c:pt idx="9">
                  <c:v>9.5</c:v>
                </c:pt>
                <c:pt idx="10">
                  <c:v>8.5</c:v>
                </c:pt>
                <c:pt idx="11">
                  <c:v>7.5</c:v>
                </c:pt>
                <c:pt idx="12">
                  <c:v>6.5</c:v>
                </c:pt>
                <c:pt idx="13">
                  <c:v>5.5</c:v>
                </c:pt>
                <c:pt idx="14">
                  <c:v>7.5</c:v>
                </c:pt>
                <c:pt idx="15">
                  <c:v>9.5</c:v>
                </c:pt>
                <c:pt idx="16">
                  <c:v>8.5</c:v>
                </c:pt>
                <c:pt idx="17">
                  <c:v>7.5</c:v>
                </c:pt>
                <c:pt idx="18">
                  <c:v>9.5</c:v>
                </c:pt>
                <c:pt idx="19">
                  <c:v>13</c:v>
                </c:pt>
                <c:pt idx="20">
                  <c:v>12</c:v>
                </c:pt>
                <c:pt idx="21">
                  <c:v>14</c:v>
                </c:pt>
                <c:pt idx="22">
                  <c:v>16</c:v>
                </c:pt>
                <c:pt idx="23">
                  <c:v>19.5</c:v>
                </c:pt>
                <c:pt idx="24">
                  <c:v>21.5</c:v>
                </c:pt>
                <c:pt idx="25">
                  <c:v>20.5</c:v>
                </c:pt>
                <c:pt idx="26">
                  <c:v>22.5</c:v>
                </c:pt>
                <c:pt idx="27">
                  <c:v>24.5</c:v>
                </c:pt>
                <c:pt idx="28">
                  <c:v>26.5</c:v>
                </c:pt>
                <c:pt idx="29">
                  <c:v>25.5</c:v>
                </c:pt>
                <c:pt idx="30">
                  <c:v>29</c:v>
                </c:pt>
                <c:pt idx="31">
                  <c:v>32.5</c:v>
                </c:pt>
                <c:pt idx="32">
                  <c:v>31.5</c:v>
                </c:pt>
                <c:pt idx="33">
                  <c:v>35</c:v>
                </c:pt>
                <c:pt idx="34">
                  <c:v>38.5</c:v>
                </c:pt>
                <c:pt idx="35">
                  <c:v>40.5</c:v>
                </c:pt>
                <c:pt idx="36">
                  <c:v>39.5</c:v>
                </c:pt>
                <c:pt idx="37">
                  <c:v>41.5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CD-4D70-8A93-38AC58071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5599247"/>
        <c:axId val="1912677263"/>
      </c:lineChart>
      <c:catAx>
        <c:axId val="202559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677263"/>
        <c:crosses val="autoZero"/>
        <c:auto val="1"/>
        <c:lblAlgn val="ctr"/>
        <c:lblOffset val="100"/>
        <c:noMultiLvlLbl val="0"/>
      </c:catAx>
      <c:valAx>
        <c:axId val="1912677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599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445433</xdr:colOff>
      <xdr:row>50</xdr:row>
      <xdr:rowOff>155202</xdr:rowOff>
    </xdr:from>
    <xdr:to>
      <xdr:col>5</xdr:col>
      <xdr:colOff>242794</xdr:colOff>
      <xdr:row>69</xdr:row>
      <xdr:rowOff>18676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19BA14-A7A9-B4CC-9733-C7B82C1E41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211978</xdr:colOff>
      <xdr:row>43</xdr:row>
      <xdr:rowOff>145863</xdr:rowOff>
    </xdr:from>
    <xdr:to>
      <xdr:col>11</xdr:col>
      <xdr:colOff>572434</xdr:colOff>
      <xdr:row>58</xdr:row>
      <xdr:rowOff>87592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F2C32D-25ED-4DB8-5960-FD6C43F0B9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10</xdr:row>
      <xdr:rowOff>18143</xdr:rowOff>
    </xdr:from>
    <xdr:to>
      <xdr:col>5</xdr:col>
      <xdr:colOff>1542142</xdr:colOff>
      <xdr:row>25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28823A-12AC-4DD7-8D18-CC3EF48733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780143</xdr:colOff>
      <xdr:row>10</xdr:row>
      <xdr:rowOff>72571</xdr:rowOff>
    </xdr:from>
    <xdr:to>
      <xdr:col>18</xdr:col>
      <xdr:colOff>526143</xdr:colOff>
      <xdr:row>26</xdr:row>
      <xdr:rowOff>72572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7D9C91-DC34-4C19-A0AF-059236339E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479470</xdr:colOff>
      <xdr:row>68</xdr:row>
      <xdr:rowOff>133073</xdr:rowOff>
    </xdr:from>
    <xdr:to>
      <xdr:col>4</xdr:col>
      <xdr:colOff>1490869</xdr:colOff>
      <xdr:row>84</xdr:row>
      <xdr:rowOff>101231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2EED22-78A0-E7D2-580A-C8C54C1112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2071572</xdr:colOff>
      <xdr:row>67</xdr:row>
      <xdr:rowOff>156449</xdr:rowOff>
    </xdr:from>
    <xdr:to>
      <xdr:col>9</xdr:col>
      <xdr:colOff>469348</xdr:colOff>
      <xdr:row>87</xdr:row>
      <xdr:rowOff>69391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E9F7DF-9C2F-ACDF-ADED-CFA6D41F3E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E2702-C16B-4D83-A2D5-7E31CAC9C6E8}">
  <dimension ref="A1:O50"/>
  <sheetViews>
    <sheetView tabSelected="1" topLeftCell="F1" zoomScale="60" zoomScaleNormal="60" workbookViewId="0">
      <selection activeCell="J29" sqref="J29"/>
    </sheetView>
  </sheetViews>
  <sheetFormatPr defaultRowHeight="14.5" x14ac:dyDescent="0.35"/>
  <cols>
    <col min="1" max="1" width="16.81640625" customWidth="1"/>
    <col min="2" max="2" width="15.26953125" customWidth="1"/>
    <col min="3" max="3" width="18.08984375" customWidth="1"/>
    <col min="4" max="4" width="28.453125" customWidth="1"/>
    <col min="5" max="5" width="40.81640625" customWidth="1"/>
    <col min="6" max="6" width="27.08984375" customWidth="1"/>
    <col min="7" max="7" width="16.1796875" customWidth="1"/>
    <col min="8" max="10" width="39" customWidth="1"/>
    <col min="11" max="11" width="21.26953125" customWidth="1"/>
    <col min="12" max="12" width="10" customWidth="1"/>
    <col min="13" max="13" width="49.90625" customWidth="1"/>
    <col min="14" max="14" width="35.6328125" style="2" customWidth="1"/>
    <col min="15" max="15" width="22.26953125" style="2" customWidth="1"/>
    <col min="16" max="16" width="17.1796875" customWidth="1"/>
    <col min="17" max="17" width="19.54296875" customWidth="1"/>
  </cols>
  <sheetData>
    <row r="1" spans="1:15" x14ac:dyDescent="0.35">
      <c r="A1" t="s">
        <v>0</v>
      </c>
      <c r="B1" t="s">
        <v>5</v>
      </c>
      <c r="C1" t="s">
        <v>26</v>
      </c>
      <c r="D1" t="s">
        <v>6</v>
      </c>
      <c r="E1" t="s">
        <v>3</v>
      </c>
      <c r="F1" t="s">
        <v>4</v>
      </c>
      <c r="G1" t="s">
        <v>27</v>
      </c>
      <c r="H1" t="s">
        <v>14</v>
      </c>
      <c r="I1" t="s">
        <v>162</v>
      </c>
      <c r="J1" t="s">
        <v>161</v>
      </c>
      <c r="K1" t="s">
        <v>21</v>
      </c>
      <c r="L1" t="s">
        <v>100</v>
      </c>
      <c r="M1" t="s">
        <v>128</v>
      </c>
      <c r="N1" s="2" t="s">
        <v>137</v>
      </c>
      <c r="O1" s="2" t="s">
        <v>138</v>
      </c>
    </row>
    <row r="2" spans="1:15" x14ac:dyDescent="0.35">
      <c r="A2" t="s">
        <v>1</v>
      </c>
      <c r="B2" t="s">
        <v>7</v>
      </c>
      <c r="E2" t="s">
        <v>7</v>
      </c>
      <c r="F2" t="s">
        <v>8</v>
      </c>
      <c r="H2" t="s">
        <v>16</v>
      </c>
      <c r="I2" s="9">
        <f>_xlfn.XLOOKUP(IF(OR(H2="D", H2="F"), "D&amp;F TRADES", H2 &amp; " TRADES"), $C$32:$C$35, $A$32:$A$35, "N/A")</f>
        <v>1</v>
      </c>
      <c r="J2" s="7">
        <f>VLOOKUP(IF(OR(H2="D", H2="F"), "D&amp;F TRADES", H2 &amp; " TRADES"), $C$32:$G$35, 5, FALSE)</f>
        <v>0.55555555555555558</v>
      </c>
      <c r="K2" t="s">
        <v>22</v>
      </c>
      <c r="L2">
        <v>2</v>
      </c>
      <c r="M2">
        <f>L2</f>
        <v>2</v>
      </c>
      <c r="N2" s="2">
        <v>2000</v>
      </c>
      <c r="O2" s="2">
        <v>102000</v>
      </c>
    </row>
    <row r="3" spans="1:15" x14ac:dyDescent="0.35">
      <c r="A3" t="s">
        <v>2</v>
      </c>
      <c r="D3" t="s">
        <v>7</v>
      </c>
      <c r="E3" t="s">
        <v>10</v>
      </c>
      <c r="F3" t="s">
        <v>8</v>
      </c>
      <c r="H3" t="s">
        <v>16</v>
      </c>
      <c r="I3" s="9">
        <f t="shared" ref="I3:I25" si="0">_xlfn.XLOOKUP(IF(OR(H3="D", H3="F"), "D&amp;F TRADES", H3 &amp; " TRADES"), $C$32:$C$35, $A$32:$A$35, "N/A")</f>
        <v>1</v>
      </c>
      <c r="J3" s="7">
        <f t="shared" ref="J3:J25" si="1">VLOOKUP(IF(OR(H3="D", H3="F"), "D&amp;F TRADES", H3 &amp; " TRADES"), $C$32:$G$35, 5, FALSE)</f>
        <v>0.55555555555555558</v>
      </c>
      <c r="K3" t="s">
        <v>22</v>
      </c>
      <c r="L3">
        <v>2</v>
      </c>
      <c r="M3">
        <f>M2+L3</f>
        <v>4</v>
      </c>
      <c r="N3" s="2">
        <v>2000</v>
      </c>
      <c r="O3" s="2">
        <f>O2+N3</f>
        <v>104000</v>
      </c>
    </row>
    <row r="4" spans="1:15" x14ac:dyDescent="0.35">
      <c r="A4" t="s">
        <v>11</v>
      </c>
      <c r="B4" t="s">
        <v>7</v>
      </c>
      <c r="E4" t="s">
        <v>10</v>
      </c>
      <c r="F4" t="s">
        <v>9</v>
      </c>
      <c r="H4" t="s">
        <v>18</v>
      </c>
      <c r="I4" s="9">
        <f t="shared" si="0"/>
        <v>0.1</v>
      </c>
      <c r="J4" s="7">
        <f t="shared" si="1"/>
        <v>0.22222222222222221</v>
      </c>
      <c r="K4" t="s">
        <v>22</v>
      </c>
      <c r="L4">
        <v>-1</v>
      </c>
      <c r="M4">
        <f t="shared" ref="M4:M25" si="2">M3+L4</f>
        <v>3</v>
      </c>
      <c r="N4" s="2">
        <v>-1000</v>
      </c>
      <c r="O4" s="2">
        <f t="shared" ref="O4:O25" si="3">O3+N4</f>
        <v>103000</v>
      </c>
    </row>
    <row r="5" spans="1:15" x14ac:dyDescent="0.35">
      <c r="A5" t="s">
        <v>11</v>
      </c>
      <c r="B5" t="s">
        <v>7</v>
      </c>
      <c r="E5" t="s">
        <v>13</v>
      </c>
      <c r="F5" t="s">
        <v>8</v>
      </c>
      <c r="H5" t="s">
        <v>15</v>
      </c>
      <c r="I5" s="9">
        <f t="shared" si="0"/>
        <v>1</v>
      </c>
      <c r="J5" s="7">
        <f t="shared" si="1"/>
        <v>1</v>
      </c>
      <c r="K5" t="s">
        <v>22</v>
      </c>
      <c r="L5">
        <v>2</v>
      </c>
      <c r="M5">
        <f t="shared" si="2"/>
        <v>5</v>
      </c>
      <c r="N5" s="2">
        <v>2000</v>
      </c>
      <c r="O5" s="2">
        <f t="shared" si="3"/>
        <v>105000</v>
      </c>
    </row>
    <row r="6" spans="1:15" x14ac:dyDescent="0.35">
      <c r="A6" t="s">
        <v>12</v>
      </c>
      <c r="D6" t="s">
        <v>7</v>
      </c>
      <c r="E6" t="s">
        <v>13</v>
      </c>
      <c r="F6" t="s">
        <v>9</v>
      </c>
      <c r="G6" t="s">
        <v>7</v>
      </c>
      <c r="H6" t="s">
        <v>42</v>
      </c>
      <c r="I6" s="9">
        <f t="shared" si="0"/>
        <v>0.1</v>
      </c>
      <c r="J6" s="7">
        <f t="shared" si="1"/>
        <v>0.22222222222222221</v>
      </c>
      <c r="K6" t="s">
        <v>22</v>
      </c>
      <c r="L6">
        <v>-1</v>
      </c>
      <c r="M6">
        <f t="shared" si="2"/>
        <v>4</v>
      </c>
      <c r="N6" s="2">
        <v>-1000</v>
      </c>
      <c r="O6" s="2">
        <f t="shared" si="3"/>
        <v>104000</v>
      </c>
    </row>
    <row r="7" spans="1:15" x14ac:dyDescent="0.35">
      <c r="A7" s="1" t="s">
        <v>19</v>
      </c>
      <c r="D7" t="s">
        <v>7</v>
      </c>
      <c r="E7" t="s">
        <v>7</v>
      </c>
      <c r="F7" t="s">
        <v>8</v>
      </c>
      <c r="H7" t="s">
        <v>17</v>
      </c>
      <c r="I7" s="9">
        <f t="shared" si="0"/>
        <v>2</v>
      </c>
      <c r="J7" s="7">
        <f t="shared" si="1"/>
        <v>0.8</v>
      </c>
      <c r="K7" t="s">
        <v>23</v>
      </c>
      <c r="L7">
        <v>2</v>
      </c>
      <c r="M7">
        <f t="shared" si="2"/>
        <v>6</v>
      </c>
      <c r="N7" s="2">
        <v>2000</v>
      </c>
      <c r="O7" s="2">
        <f t="shared" si="3"/>
        <v>106000</v>
      </c>
    </row>
    <row r="8" spans="1:15" x14ac:dyDescent="0.35">
      <c r="A8" t="s">
        <v>20</v>
      </c>
      <c r="D8" t="s">
        <v>7</v>
      </c>
      <c r="E8" t="s">
        <v>10</v>
      </c>
      <c r="F8" t="s">
        <v>8</v>
      </c>
      <c r="H8" t="s">
        <v>16</v>
      </c>
      <c r="I8" s="9">
        <f t="shared" si="0"/>
        <v>1</v>
      </c>
      <c r="J8" s="7">
        <f t="shared" si="1"/>
        <v>0.55555555555555558</v>
      </c>
      <c r="K8" t="s">
        <v>22</v>
      </c>
      <c r="L8">
        <v>2</v>
      </c>
      <c r="M8">
        <f t="shared" si="2"/>
        <v>8</v>
      </c>
      <c r="N8" s="2">
        <v>2000</v>
      </c>
      <c r="O8" s="2">
        <f t="shared" si="3"/>
        <v>108000</v>
      </c>
    </row>
    <row r="9" spans="1:15" x14ac:dyDescent="0.35">
      <c r="A9" t="s">
        <v>24</v>
      </c>
      <c r="D9" t="s">
        <v>7</v>
      </c>
      <c r="E9" t="s">
        <v>10</v>
      </c>
      <c r="F9" t="s">
        <v>8</v>
      </c>
      <c r="H9" t="s">
        <v>16</v>
      </c>
      <c r="I9" s="9">
        <f t="shared" si="0"/>
        <v>1</v>
      </c>
      <c r="J9" s="7">
        <f t="shared" si="1"/>
        <v>0.55555555555555558</v>
      </c>
      <c r="K9" t="s">
        <v>22</v>
      </c>
      <c r="L9">
        <v>2</v>
      </c>
      <c r="M9">
        <f t="shared" si="2"/>
        <v>10</v>
      </c>
      <c r="N9" s="2">
        <v>2000</v>
      </c>
      <c r="O9" s="2">
        <f t="shared" si="3"/>
        <v>110000</v>
      </c>
    </row>
    <row r="10" spans="1:15" x14ac:dyDescent="0.35">
      <c r="A10" s="1" t="s">
        <v>25</v>
      </c>
      <c r="C10" t="s">
        <v>7</v>
      </c>
      <c r="E10" t="s">
        <v>7</v>
      </c>
      <c r="F10" t="s">
        <v>9</v>
      </c>
      <c r="H10" t="s">
        <v>16</v>
      </c>
      <c r="I10" s="9">
        <f t="shared" si="0"/>
        <v>1</v>
      </c>
      <c r="J10" s="7">
        <f t="shared" si="1"/>
        <v>0.55555555555555558</v>
      </c>
      <c r="K10" t="s">
        <v>22</v>
      </c>
      <c r="L10">
        <v>-1</v>
      </c>
      <c r="M10">
        <f t="shared" si="2"/>
        <v>9</v>
      </c>
      <c r="N10" s="2">
        <v>-1000</v>
      </c>
      <c r="O10" s="2">
        <f t="shared" si="3"/>
        <v>109000</v>
      </c>
    </row>
    <row r="11" spans="1:15" x14ac:dyDescent="0.35">
      <c r="A11" t="s">
        <v>25</v>
      </c>
      <c r="C11" t="s">
        <v>7</v>
      </c>
      <c r="E11" t="s">
        <v>7</v>
      </c>
      <c r="F11" t="s">
        <v>9</v>
      </c>
      <c r="H11" t="s">
        <v>16</v>
      </c>
      <c r="I11" s="9">
        <f t="shared" si="0"/>
        <v>1</v>
      </c>
      <c r="J11" s="7">
        <f t="shared" si="1"/>
        <v>0.55555555555555558</v>
      </c>
      <c r="K11" t="s">
        <v>22</v>
      </c>
      <c r="L11">
        <v>-1</v>
      </c>
      <c r="M11">
        <f t="shared" si="2"/>
        <v>8</v>
      </c>
      <c r="N11" s="2">
        <v>-1000</v>
      </c>
      <c r="O11" s="2">
        <f t="shared" si="3"/>
        <v>108000</v>
      </c>
    </row>
    <row r="12" spans="1:15" x14ac:dyDescent="0.35">
      <c r="A12" t="s">
        <v>29</v>
      </c>
      <c r="D12" t="s">
        <v>7</v>
      </c>
      <c r="E12" t="s">
        <v>13</v>
      </c>
      <c r="F12" t="s">
        <v>8</v>
      </c>
      <c r="H12" t="s">
        <v>16</v>
      </c>
      <c r="I12" s="9">
        <f t="shared" si="0"/>
        <v>1</v>
      </c>
      <c r="J12" s="7">
        <f t="shared" si="1"/>
        <v>0.55555555555555558</v>
      </c>
      <c r="K12" t="s">
        <v>23</v>
      </c>
      <c r="L12">
        <v>3.5</v>
      </c>
      <c r="M12">
        <f t="shared" si="2"/>
        <v>11.5</v>
      </c>
      <c r="N12" s="2">
        <v>3500</v>
      </c>
      <c r="O12" s="2">
        <f t="shared" si="3"/>
        <v>111500</v>
      </c>
    </row>
    <row r="13" spans="1:15" x14ac:dyDescent="0.35">
      <c r="A13" t="s">
        <v>30</v>
      </c>
      <c r="D13" t="s">
        <v>7</v>
      </c>
      <c r="E13" t="s">
        <v>7</v>
      </c>
      <c r="F13" t="s">
        <v>9</v>
      </c>
      <c r="H13" t="s">
        <v>17</v>
      </c>
      <c r="I13" s="9">
        <f t="shared" si="0"/>
        <v>2</v>
      </c>
      <c r="J13" s="7">
        <f t="shared" si="1"/>
        <v>0.8</v>
      </c>
      <c r="K13" t="s">
        <v>31</v>
      </c>
      <c r="L13">
        <v>-1</v>
      </c>
      <c r="M13">
        <f t="shared" si="2"/>
        <v>10.5</v>
      </c>
      <c r="N13" s="2">
        <v>-1000</v>
      </c>
      <c r="O13" s="2">
        <f t="shared" si="3"/>
        <v>110500</v>
      </c>
    </row>
    <row r="14" spans="1:15" x14ac:dyDescent="0.35">
      <c r="A14" t="s">
        <v>32</v>
      </c>
      <c r="B14" t="s">
        <v>7</v>
      </c>
      <c r="E14" t="s">
        <v>10</v>
      </c>
      <c r="F14" t="s">
        <v>8</v>
      </c>
      <c r="H14" t="s">
        <v>18</v>
      </c>
      <c r="I14" s="9">
        <f t="shared" si="0"/>
        <v>0.1</v>
      </c>
      <c r="J14" s="7">
        <f t="shared" si="1"/>
        <v>0.22222222222222221</v>
      </c>
      <c r="K14" t="s">
        <v>22</v>
      </c>
      <c r="L14">
        <v>3.5</v>
      </c>
      <c r="M14">
        <f t="shared" si="2"/>
        <v>14</v>
      </c>
      <c r="N14" s="2">
        <v>3500</v>
      </c>
      <c r="O14" s="2">
        <f t="shared" si="3"/>
        <v>114000</v>
      </c>
    </row>
    <row r="15" spans="1:15" x14ac:dyDescent="0.35">
      <c r="A15" t="s">
        <v>33</v>
      </c>
      <c r="D15" t="s">
        <v>7</v>
      </c>
      <c r="E15" t="s">
        <v>7</v>
      </c>
      <c r="F15" t="s">
        <v>8</v>
      </c>
      <c r="H15" t="s">
        <v>17</v>
      </c>
      <c r="I15" s="9">
        <f t="shared" si="0"/>
        <v>2</v>
      </c>
      <c r="J15" s="7">
        <f t="shared" si="1"/>
        <v>0.8</v>
      </c>
      <c r="K15" t="s">
        <v>22</v>
      </c>
      <c r="L15">
        <v>2</v>
      </c>
      <c r="M15">
        <f t="shared" si="2"/>
        <v>16</v>
      </c>
      <c r="N15" s="2">
        <v>2000</v>
      </c>
      <c r="O15" s="2">
        <f t="shared" si="3"/>
        <v>116000</v>
      </c>
    </row>
    <row r="16" spans="1:15" x14ac:dyDescent="0.35">
      <c r="A16" t="s">
        <v>34</v>
      </c>
      <c r="D16" t="s">
        <v>7</v>
      </c>
      <c r="E16" t="s">
        <v>10</v>
      </c>
      <c r="F16" t="s">
        <v>9</v>
      </c>
      <c r="H16" t="s">
        <v>16</v>
      </c>
      <c r="I16" s="9">
        <f t="shared" si="0"/>
        <v>1</v>
      </c>
      <c r="J16" s="7">
        <f t="shared" si="1"/>
        <v>0.55555555555555558</v>
      </c>
      <c r="K16" t="s">
        <v>22</v>
      </c>
      <c r="L16">
        <v>-1</v>
      </c>
      <c r="M16">
        <f t="shared" si="2"/>
        <v>15</v>
      </c>
      <c r="N16" s="2">
        <v>-1000</v>
      </c>
      <c r="O16" s="2">
        <f t="shared" si="3"/>
        <v>115000</v>
      </c>
    </row>
    <row r="17" spans="1:15" x14ac:dyDescent="0.35">
      <c r="A17" t="s">
        <v>35</v>
      </c>
      <c r="D17" t="s">
        <v>7</v>
      </c>
      <c r="E17" t="s">
        <v>10</v>
      </c>
      <c r="F17" t="s">
        <v>9</v>
      </c>
      <c r="G17" t="s">
        <v>7</v>
      </c>
      <c r="H17" t="s">
        <v>42</v>
      </c>
      <c r="I17" s="9">
        <f t="shared" si="0"/>
        <v>0.1</v>
      </c>
      <c r="J17" s="7">
        <f t="shared" si="1"/>
        <v>0.22222222222222221</v>
      </c>
      <c r="K17" t="s">
        <v>22</v>
      </c>
      <c r="L17">
        <v>-1</v>
      </c>
      <c r="M17">
        <f t="shared" si="2"/>
        <v>14</v>
      </c>
      <c r="N17" s="2">
        <v>-1000</v>
      </c>
      <c r="O17" s="2">
        <f t="shared" si="3"/>
        <v>114000</v>
      </c>
    </row>
    <row r="18" spans="1:15" x14ac:dyDescent="0.35">
      <c r="A18" t="s">
        <v>36</v>
      </c>
      <c r="B18" t="s">
        <v>7</v>
      </c>
      <c r="E18" t="s">
        <v>10</v>
      </c>
      <c r="F18" t="s">
        <v>9</v>
      </c>
      <c r="H18" t="s">
        <v>18</v>
      </c>
      <c r="I18" s="9">
        <f t="shared" si="0"/>
        <v>0.1</v>
      </c>
      <c r="J18" s="7">
        <f t="shared" si="1"/>
        <v>0.22222222222222221</v>
      </c>
      <c r="K18" t="s">
        <v>22</v>
      </c>
      <c r="L18">
        <v>-1</v>
      </c>
      <c r="M18">
        <f t="shared" si="2"/>
        <v>13</v>
      </c>
      <c r="N18" s="2">
        <v>-1000</v>
      </c>
      <c r="O18" s="2">
        <f t="shared" si="3"/>
        <v>113000</v>
      </c>
    </row>
    <row r="19" spans="1:15" x14ac:dyDescent="0.35">
      <c r="A19" t="s">
        <v>36</v>
      </c>
      <c r="B19" t="s">
        <v>7</v>
      </c>
      <c r="E19" t="s">
        <v>10</v>
      </c>
      <c r="F19" t="s">
        <v>8</v>
      </c>
      <c r="H19" t="s">
        <v>18</v>
      </c>
      <c r="I19" s="9">
        <f t="shared" si="0"/>
        <v>0.1</v>
      </c>
      <c r="J19" s="7">
        <f t="shared" si="1"/>
        <v>0.22222222222222221</v>
      </c>
      <c r="K19" t="s">
        <v>22</v>
      </c>
      <c r="L19">
        <v>2</v>
      </c>
      <c r="M19">
        <f t="shared" si="2"/>
        <v>15</v>
      </c>
      <c r="N19" s="2">
        <v>2000</v>
      </c>
      <c r="O19" s="2">
        <f t="shared" si="3"/>
        <v>115000</v>
      </c>
    </row>
    <row r="20" spans="1:15" x14ac:dyDescent="0.35">
      <c r="A20" t="s">
        <v>37</v>
      </c>
      <c r="D20" t="s">
        <v>7</v>
      </c>
      <c r="E20" t="s">
        <v>7</v>
      </c>
      <c r="F20" t="s">
        <v>9</v>
      </c>
      <c r="G20" t="s">
        <v>7</v>
      </c>
      <c r="H20" t="s">
        <v>42</v>
      </c>
      <c r="I20" s="9">
        <f t="shared" si="0"/>
        <v>0.1</v>
      </c>
      <c r="J20" s="7">
        <f t="shared" si="1"/>
        <v>0.22222222222222221</v>
      </c>
      <c r="K20" t="s">
        <v>22</v>
      </c>
      <c r="L20">
        <v>-1</v>
      </c>
      <c r="M20">
        <f t="shared" si="2"/>
        <v>14</v>
      </c>
      <c r="N20" s="2">
        <v>-1000</v>
      </c>
      <c r="O20" s="2">
        <f t="shared" si="3"/>
        <v>114000</v>
      </c>
    </row>
    <row r="21" spans="1:15" x14ac:dyDescent="0.35">
      <c r="A21" t="s">
        <v>38</v>
      </c>
      <c r="D21" t="s">
        <v>7</v>
      </c>
      <c r="E21" t="s">
        <v>7</v>
      </c>
      <c r="F21" t="s">
        <v>9</v>
      </c>
      <c r="G21" t="s">
        <v>7</v>
      </c>
      <c r="H21" t="s">
        <v>42</v>
      </c>
      <c r="I21" s="9">
        <f t="shared" si="0"/>
        <v>0.1</v>
      </c>
      <c r="J21" s="7">
        <f t="shared" si="1"/>
        <v>0.22222222222222221</v>
      </c>
      <c r="K21" t="s">
        <v>22</v>
      </c>
      <c r="L21">
        <v>-1</v>
      </c>
      <c r="M21">
        <f t="shared" si="2"/>
        <v>13</v>
      </c>
      <c r="N21" s="2">
        <v>-1000</v>
      </c>
      <c r="O21" s="2">
        <f t="shared" si="3"/>
        <v>113000</v>
      </c>
    </row>
    <row r="22" spans="1:15" x14ac:dyDescent="0.35">
      <c r="A22" t="s">
        <v>101</v>
      </c>
      <c r="D22" t="s">
        <v>7</v>
      </c>
      <c r="E22" t="s">
        <v>7</v>
      </c>
      <c r="F22" t="s">
        <v>8</v>
      </c>
      <c r="H22" t="s">
        <v>17</v>
      </c>
      <c r="I22" s="9">
        <f t="shared" si="0"/>
        <v>2</v>
      </c>
      <c r="J22" s="7">
        <f t="shared" si="1"/>
        <v>0.8</v>
      </c>
      <c r="K22" t="s">
        <v>23</v>
      </c>
      <c r="L22">
        <v>2</v>
      </c>
      <c r="M22">
        <f t="shared" si="2"/>
        <v>15</v>
      </c>
      <c r="N22" s="2">
        <v>2000</v>
      </c>
      <c r="O22" s="2">
        <f t="shared" si="3"/>
        <v>115000</v>
      </c>
    </row>
    <row r="23" spans="1:15" x14ac:dyDescent="0.35">
      <c r="A23" t="s">
        <v>39</v>
      </c>
      <c r="D23" t="s">
        <v>7</v>
      </c>
      <c r="E23" t="s">
        <v>7</v>
      </c>
      <c r="F23" t="s">
        <v>8</v>
      </c>
      <c r="H23" t="s">
        <v>17</v>
      </c>
      <c r="I23" s="9">
        <f t="shared" si="0"/>
        <v>2</v>
      </c>
      <c r="J23" s="7">
        <f t="shared" si="1"/>
        <v>0.8</v>
      </c>
      <c r="K23" t="s">
        <v>22</v>
      </c>
      <c r="L23">
        <v>3.5</v>
      </c>
      <c r="M23">
        <f t="shared" si="2"/>
        <v>18.5</v>
      </c>
      <c r="N23" s="2">
        <v>3500</v>
      </c>
      <c r="O23" s="2">
        <f t="shared" si="3"/>
        <v>118500</v>
      </c>
    </row>
    <row r="24" spans="1:15" x14ac:dyDescent="0.35">
      <c r="A24" t="s">
        <v>40</v>
      </c>
      <c r="B24" t="s">
        <v>7</v>
      </c>
      <c r="E24" t="s">
        <v>7</v>
      </c>
      <c r="F24" t="s">
        <v>9</v>
      </c>
      <c r="H24" t="s">
        <v>16</v>
      </c>
      <c r="I24" s="9">
        <f t="shared" si="0"/>
        <v>1</v>
      </c>
      <c r="J24" s="7">
        <f t="shared" si="1"/>
        <v>0.55555555555555558</v>
      </c>
      <c r="K24" t="s">
        <v>22</v>
      </c>
      <c r="L24">
        <v>-1</v>
      </c>
      <c r="M24">
        <f t="shared" si="2"/>
        <v>17.5</v>
      </c>
      <c r="N24" s="2">
        <v>-1000</v>
      </c>
      <c r="O24" s="2">
        <f t="shared" si="3"/>
        <v>117500</v>
      </c>
    </row>
    <row r="25" spans="1:15" x14ac:dyDescent="0.35">
      <c r="A25" t="s">
        <v>41</v>
      </c>
      <c r="D25" t="s">
        <v>7</v>
      </c>
      <c r="E25" t="s">
        <v>7</v>
      </c>
      <c r="F25" t="s">
        <v>9</v>
      </c>
      <c r="G25" t="s">
        <v>7</v>
      </c>
      <c r="H25" t="s">
        <v>42</v>
      </c>
      <c r="I25" s="9">
        <f t="shared" si="0"/>
        <v>0.1</v>
      </c>
      <c r="J25" s="7">
        <f t="shared" si="1"/>
        <v>0.22222222222222221</v>
      </c>
      <c r="K25" t="s">
        <v>22</v>
      </c>
      <c r="L25">
        <v>-1</v>
      </c>
      <c r="M25">
        <f t="shared" si="2"/>
        <v>16.5</v>
      </c>
      <c r="N25" s="2">
        <v>-1000</v>
      </c>
      <c r="O25" s="2">
        <f t="shared" si="3"/>
        <v>116500</v>
      </c>
    </row>
    <row r="27" spans="1:15" x14ac:dyDescent="0.35">
      <c r="K27" t="s">
        <v>102</v>
      </c>
      <c r="L27">
        <f>SUM(L2:L25)</f>
        <v>16.5</v>
      </c>
    </row>
    <row r="28" spans="1:15" x14ac:dyDescent="0.35">
      <c r="K28" t="s">
        <v>103</v>
      </c>
      <c r="L28">
        <f>L27-E36</f>
        <v>4.5</v>
      </c>
    </row>
    <row r="31" spans="1:15" x14ac:dyDescent="0.35">
      <c r="B31" t="s">
        <v>104</v>
      </c>
      <c r="C31" t="s">
        <v>106</v>
      </c>
      <c r="D31" t="s">
        <v>68</v>
      </c>
      <c r="E31" t="s">
        <v>82</v>
      </c>
      <c r="F31" t="s">
        <v>67</v>
      </c>
      <c r="G31" t="s">
        <v>79</v>
      </c>
      <c r="H31" t="s">
        <v>113</v>
      </c>
      <c r="K31" t="s">
        <v>90</v>
      </c>
      <c r="L31" t="s">
        <v>111</v>
      </c>
      <c r="M31" t="s">
        <v>110</v>
      </c>
    </row>
    <row r="32" spans="1:15" x14ac:dyDescent="0.35">
      <c r="A32">
        <v>2</v>
      </c>
      <c r="B32">
        <v>2</v>
      </c>
      <c r="C32" t="s">
        <v>69</v>
      </c>
      <c r="D32">
        <f>COUNTIF(H2:H25, "A" )</f>
        <v>5</v>
      </c>
      <c r="E32">
        <f>COUNTIFS(F2:F25, "W", H2:H25, "A")</f>
        <v>4</v>
      </c>
      <c r="F32">
        <f>COUNTIFS(F2:F25, "L", H2:H25, "A" )</f>
        <v>1</v>
      </c>
      <c r="G32" s="7">
        <f>E32/D32</f>
        <v>0.8</v>
      </c>
      <c r="H32">
        <f>SUMIF(H2:H25, "A", L2:L25)</f>
        <v>8.5</v>
      </c>
      <c r="K32">
        <f>D32*B32</f>
        <v>10</v>
      </c>
      <c r="L32">
        <f>H32*B32-F32*B32</f>
        <v>15</v>
      </c>
    </row>
    <row r="33" spans="1:12" x14ac:dyDescent="0.35">
      <c r="A33">
        <v>1</v>
      </c>
      <c r="B33">
        <v>1</v>
      </c>
      <c r="C33" t="s">
        <v>78</v>
      </c>
      <c r="D33">
        <f>COUNTIF(H2:H25, "B" )</f>
        <v>9</v>
      </c>
      <c r="E33">
        <f>COUNTIFS(F2:F25, "W", H2:H25, "B" )</f>
        <v>5</v>
      </c>
      <c r="F33">
        <f>COUNTIFS(F2:F25, "L", H2:H25, "B" )</f>
        <v>4</v>
      </c>
      <c r="G33" s="7">
        <f t="shared" ref="G33:G35" si="4">E33/D33</f>
        <v>0.55555555555555558</v>
      </c>
      <c r="H33">
        <f>SUMIF(H2:H25, "B", L2:L25)</f>
        <v>7.5</v>
      </c>
      <c r="K33">
        <f t="shared" ref="K33:K34" si="5">D33*B33</f>
        <v>9</v>
      </c>
      <c r="L33">
        <f>H33*B33-F33*B33</f>
        <v>3.5</v>
      </c>
    </row>
    <row r="34" spans="1:12" x14ac:dyDescent="0.35">
      <c r="A34">
        <v>1</v>
      </c>
      <c r="B34">
        <v>1</v>
      </c>
      <c r="C34" t="s">
        <v>80</v>
      </c>
      <c r="D34">
        <f>COUNTIF(H2:H25, "C" )</f>
        <v>1</v>
      </c>
      <c r="E34">
        <f>COUNTIFS(F2:F25, "W", H2:H25, "C")</f>
        <v>1</v>
      </c>
      <c r="F34">
        <f>COUNTIFS(F2:F25, "L", H2:H25, "C")</f>
        <v>0</v>
      </c>
      <c r="G34" s="7">
        <f t="shared" si="4"/>
        <v>1</v>
      </c>
      <c r="H34">
        <f>SUMIF(H2:H25, "C", L2:L25)</f>
        <v>2</v>
      </c>
      <c r="K34">
        <f t="shared" si="5"/>
        <v>1</v>
      </c>
      <c r="L34">
        <f>H34*B34-F34*B34</f>
        <v>2</v>
      </c>
    </row>
    <row r="35" spans="1:12" x14ac:dyDescent="0.35">
      <c r="A35">
        <v>0.1</v>
      </c>
      <c r="B35">
        <v>0.1</v>
      </c>
      <c r="C35" t="s">
        <v>107</v>
      </c>
      <c r="D35">
        <f>COUNTIF(H2:H25, "D" ) + COUNTIF(H2:H25, "F")</f>
        <v>9</v>
      </c>
      <c r="E35">
        <f>COUNTIFS(F2:F25, "W", H2:H25, "D") + COUNTIFS(F2:F25, "W", H2:H25, "F")</f>
        <v>2</v>
      </c>
      <c r="F35">
        <f>COUNTIFS(F2:F25, "L", H2:H25, "D") + COUNTIFS(F2:F25, "L", H2:H25, "F")</f>
        <v>7</v>
      </c>
      <c r="G35" s="7">
        <f t="shared" si="4"/>
        <v>0.22222222222222221</v>
      </c>
      <c r="H35">
        <f>SUMIF(H2:H25,"D",L2:L25)+SUMIF(H2:H25,"F",L2:L25)</f>
        <v>-1.5</v>
      </c>
      <c r="K35">
        <f>D35*B35</f>
        <v>0.9</v>
      </c>
      <c r="L35">
        <f>H35*B35-F35*B35</f>
        <v>-0.85000000000000009</v>
      </c>
    </row>
    <row r="36" spans="1:12" x14ac:dyDescent="0.35">
      <c r="C36" t="s">
        <v>108</v>
      </c>
      <c r="D36">
        <f>SUM(D32:D35)</f>
        <v>24</v>
      </c>
      <c r="E36">
        <f>SUM(E32:E35)</f>
        <v>12</v>
      </c>
    </row>
    <row r="37" spans="1:12" x14ac:dyDescent="0.35">
      <c r="D37">
        <f>SUM(D32:D34)</f>
        <v>15</v>
      </c>
      <c r="E37">
        <f>SUM(E32:E34)</f>
        <v>10</v>
      </c>
    </row>
    <row r="39" spans="1:12" x14ac:dyDescent="0.35">
      <c r="E39" t="s">
        <v>98</v>
      </c>
      <c r="F39">
        <f>E36/D36*100</f>
        <v>50</v>
      </c>
      <c r="K39" t="s">
        <v>109</v>
      </c>
      <c r="L39">
        <f>SUM(L32:L35)</f>
        <v>19.649999999999999</v>
      </c>
    </row>
    <row r="40" spans="1:12" x14ac:dyDescent="0.35">
      <c r="G40" t="s">
        <v>114</v>
      </c>
    </row>
    <row r="41" spans="1:12" x14ac:dyDescent="0.35">
      <c r="E41" t="s">
        <v>99</v>
      </c>
      <c r="F41">
        <f>E37/D37*100</f>
        <v>66.666666666666657</v>
      </c>
      <c r="K41" t="s">
        <v>112</v>
      </c>
      <c r="L41">
        <f>L39-L28</f>
        <v>15.149999999999999</v>
      </c>
    </row>
    <row r="46" spans="1:12" x14ac:dyDescent="0.35">
      <c r="D46" t="s">
        <v>106</v>
      </c>
      <c r="E46" t="s">
        <v>111</v>
      </c>
    </row>
    <row r="47" spans="1:12" x14ac:dyDescent="0.35">
      <c r="D47" t="s">
        <v>69</v>
      </c>
      <c r="E47">
        <f>H32*B32-F32*B32</f>
        <v>15</v>
      </c>
    </row>
    <row r="48" spans="1:12" x14ac:dyDescent="0.35">
      <c r="D48" t="s">
        <v>78</v>
      </c>
      <c r="E48">
        <f>H33*B33-F33*B33</f>
        <v>3.5</v>
      </c>
    </row>
    <row r="49" spans="4:5" x14ac:dyDescent="0.35">
      <c r="D49" t="s">
        <v>80</v>
      </c>
      <c r="E49">
        <f>H34*B34-F34*B34</f>
        <v>2</v>
      </c>
    </row>
    <row r="50" spans="4:5" x14ac:dyDescent="0.35">
      <c r="D50" t="s">
        <v>107</v>
      </c>
      <c r="E50">
        <f>H35*B35-F35*B35</f>
        <v>-0.85000000000000009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2026A-71F1-45BD-803A-A63A63EA5D6D}">
  <dimension ref="B2:M3"/>
  <sheetViews>
    <sheetView zoomScale="35" workbookViewId="0">
      <selection activeCell="M43" sqref="M43"/>
    </sheetView>
  </sheetViews>
  <sheetFormatPr defaultRowHeight="14.5" x14ac:dyDescent="0.35"/>
  <cols>
    <col min="2" max="2" width="35.90625" customWidth="1"/>
    <col min="4" max="4" width="34.81640625" customWidth="1"/>
    <col min="6" max="6" width="31.08984375" customWidth="1"/>
    <col min="8" max="8" width="27.6328125" customWidth="1"/>
    <col min="12" max="13" width="8.7265625" style="5"/>
  </cols>
  <sheetData>
    <row r="2" spans="2:8" x14ac:dyDescent="0.35">
      <c r="B2" t="s">
        <v>142</v>
      </c>
      <c r="D2" t="s">
        <v>143</v>
      </c>
      <c r="F2" s="6" t="s">
        <v>144</v>
      </c>
      <c r="H2" t="s">
        <v>145</v>
      </c>
    </row>
    <row r="3" spans="2:8" x14ac:dyDescent="0.35">
      <c r="B3" s="4">
        <f>'2026 US30'!O25</f>
        <v>116500</v>
      </c>
      <c r="D3" s="4">
        <v>16500</v>
      </c>
      <c r="F3" s="7">
        <v>0.16500000000000001</v>
      </c>
      <c r="H3" s="3">
        <v>0.5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EA77F-F9F8-4DC4-96A8-81AB5A4EBC49}">
  <dimension ref="B2:L20"/>
  <sheetViews>
    <sheetView showGridLines="0" topLeftCell="B1" workbookViewId="0">
      <selection activeCell="D4" sqref="D4"/>
    </sheetView>
  </sheetViews>
  <sheetFormatPr defaultRowHeight="14.5" x14ac:dyDescent="0.35"/>
  <cols>
    <col min="2" max="2" width="42" customWidth="1"/>
    <col min="3" max="3" width="18.36328125" customWidth="1"/>
    <col min="4" max="4" width="14.6328125" customWidth="1"/>
    <col min="5" max="5" width="11.81640625" customWidth="1"/>
  </cols>
  <sheetData>
    <row r="2" spans="3:12" x14ac:dyDescent="0.35">
      <c r="C2" t="s">
        <v>133</v>
      </c>
      <c r="D2" s="2">
        <v>100000</v>
      </c>
    </row>
    <row r="3" spans="3:12" x14ac:dyDescent="0.35">
      <c r="C3" t="s">
        <v>135</v>
      </c>
      <c r="D3" s="3">
        <v>0.01</v>
      </c>
    </row>
    <row r="4" spans="3:12" x14ac:dyDescent="0.35">
      <c r="C4" t="s">
        <v>134</v>
      </c>
      <c r="D4" s="4">
        <f>D2*D3</f>
        <v>1000</v>
      </c>
    </row>
    <row r="5" spans="3:12" x14ac:dyDescent="0.35">
      <c r="C5" t="s">
        <v>136</v>
      </c>
    </row>
    <row r="12" spans="3:12" x14ac:dyDescent="0.35">
      <c r="C12" t="s">
        <v>104</v>
      </c>
      <c r="D12" t="s">
        <v>106</v>
      </c>
      <c r="E12" t="s">
        <v>68</v>
      </c>
      <c r="F12" t="s">
        <v>82</v>
      </c>
      <c r="G12" t="s">
        <v>67</v>
      </c>
      <c r="H12" t="s">
        <v>79</v>
      </c>
      <c r="I12" t="s">
        <v>113</v>
      </c>
      <c r="J12" t="s">
        <v>90</v>
      </c>
      <c r="K12" t="s">
        <v>111</v>
      </c>
      <c r="L12" t="s">
        <v>110</v>
      </c>
    </row>
    <row r="13" spans="3:12" x14ac:dyDescent="0.35">
      <c r="C13">
        <v>2</v>
      </c>
      <c r="D13" t="s">
        <v>69</v>
      </c>
      <c r="E13">
        <f>COUNTIF('2026 US30'!H:H, "A")</f>
        <v>5</v>
      </c>
      <c r="F13">
        <f>COUNTIFS('2026 US30'!H:H, "A", '2026 US30'!F:F, "W")</f>
        <v>4</v>
      </c>
      <c r="G13">
        <f>COUNTIFS('2026 US30'!H:H, "A", '2026 US30'!F:F, "L")</f>
        <v>1</v>
      </c>
      <c r="H13">
        <f>F13/E13*100</f>
        <v>80</v>
      </c>
      <c r="I13">
        <f>SUMIF('2026 US30'!H:H, "A", '2026 US30'!L:L)</f>
        <v>8.5</v>
      </c>
      <c r="J13">
        <f>E13*C13</f>
        <v>10</v>
      </c>
      <c r="K13">
        <f>I13*C13-G13*C13</f>
        <v>15</v>
      </c>
    </row>
    <row r="14" spans="3:12" x14ac:dyDescent="0.35">
      <c r="C14">
        <v>1</v>
      </c>
      <c r="D14" t="s">
        <v>78</v>
      </c>
      <c r="E14">
        <f>COUNTIF('2026 US30'!H:H, "B")</f>
        <v>9</v>
      </c>
      <c r="F14">
        <f>COUNTIFS('2026 US30'!H:H, "B", '2026 US30'!F:F, "W")</f>
        <v>5</v>
      </c>
      <c r="G14">
        <f>COUNTIFS('2026 US30'!H:H, "B", '2026 US30'!F:F, "L")</f>
        <v>4</v>
      </c>
      <c r="H14">
        <f t="shared" ref="H14:H16" si="0">F14/E14*100</f>
        <v>55.555555555555557</v>
      </c>
      <c r="I14">
        <f>SUMIF('2026 US30'!H:H, "B", '2026 US30'!L:L)</f>
        <v>7.5</v>
      </c>
      <c r="J14">
        <f t="shared" ref="J14:J15" si="1">E14*C14</f>
        <v>9</v>
      </c>
      <c r="K14">
        <f>I14*C14-G14*C14</f>
        <v>3.5</v>
      </c>
    </row>
    <row r="15" spans="3:12" x14ac:dyDescent="0.35">
      <c r="C15">
        <v>1</v>
      </c>
      <c r="D15" t="s">
        <v>80</v>
      </c>
      <c r="E15">
        <f>COUNTIF('2026 US30'!H:H, "C")</f>
        <v>1</v>
      </c>
      <c r="F15">
        <f>COUNTIFS('2026 US30'!H:H, "C", '2026 US30'!F:F, "W")</f>
        <v>1</v>
      </c>
      <c r="G15">
        <f>COUNTIFS('2026 US30'!H:H, "C", '2026 US30'!F:F, "L")</f>
        <v>0</v>
      </c>
      <c r="H15">
        <f t="shared" si="0"/>
        <v>100</v>
      </c>
      <c r="I15">
        <f>SUMIF('2026 US30'!H:H, "C", '2026 US30'!L:L)</f>
        <v>2</v>
      </c>
      <c r="J15">
        <f t="shared" si="1"/>
        <v>1</v>
      </c>
      <c r="K15">
        <f>I15*C15-G15*C15</f>
        <v>2</v>
      </c>
    </row>
    <row r="16" spans="3:12" x14ac:dyDescent="0.35">
      <c r="C16">
        <v>0.1</v>
      </c>
      <c r="D16" t="s">
        <v>107</v>
      </c>
      <c r="E16">
        <f>COUNTIF('2026 US30'!H:H, "D") + COUNTIF('2026 US30'!H:H, "F")</f>
        <v>9</v>
      </c>
      <c r="F16">
        <f>COUNTIFS('2026 US30'!H:H, "D", '2026 US30'!F:F, "W") + COUNTIFS('2026 US30'!H:H, "F", '2026 US30'!F:F, "W")</f>
        <v>2</v>
      </c>
      <c r="G16">
        <f>COUNTIFS('2026 US30'!H:H, "D", '2026 US30'!F:F, "L") + COUNTIFS('2026 US30'!H:H, "F", '2026 US30'!F:F, "L")</f>
        <v>7</v>
      </c>
      <c r="H16">
        <f t="shared" si="0"/>
        <v>22.222222222222221</v>
      </c>
      <c r="I16">
        <f>SUMIF('2026 US30'!H:H, "D", '2026 US30'!L:L) + SUMIF('2026 US30'!H:H, "F", '2026 US30'!L:L)</f>
        <v>-1.5</v>
      </c>
      <c r="J16">
        <f>E16*C16</f>
        <v>0.9</v>
      </c>
      <c r="K16">
        <f>I16*C16-G16*C16</f>
        <v>-0.85000000000000009</v>
      </c>
    </row>
    <row r="18" spans="2:4" x14ac:dyDescent="0.35">
      <c r="B18" t="s">
        <v>139</v>
      </c>
      <c r="C18">
        <f>'2026 US30'!O25</f>
        <v>116500</v>
      </c>
    </row>
    <row r="19" spans="2:4" x14ac:dyDescent="0.35">
      <c r="B19" t="s">
        <v>140</v>
      </c>
      <c r="C19" s="4">
        <f>$D$2+((I13+I14+I15)*$D$4)</f>
        <v>118000</v>
      </c>
      <c r="D19" s="4"/>
    </row>
    <row r="20" spans="2:4" x14ac:dyDescent="0.35">
      <c r="B20" t="s">
        <v>141</v>
      </c>
      <c r="C20" s="4">
        <f>C18-(0.1*SUM(E13:E16)*$D$4)</f>
        <v>114100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00734-6297-4ADB-B0FC-8BBD54669BCE}">
  <dimension ref="A1:K21"/>
  <sheetViews>
    <sheetView showGridLines="0" zoomScale="46" workbookViewId="0">
      <selection activeCell="Q16" sqref="Q16"/>
    </sheetView>
  </sheetViews>
  <sheetFormatPr defaultRowHeight="14.5" x14ac:dyDescent="0.35"/>
  <cols>
    <col min="1" max="1" width="114.6328125" customWidth="1"/>
  </cols>
  <sheetData>
    <row r="1" spans="1:11" ht="43.5" x14ac:dyDescent="0.35">
      <c r="A1" s="8" t="s">
        <v>146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43.5" x14ac:dyDescent="0.35">
      <c r="A2" s="8" t="s">
        <v>147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ht="43.5" x14ac:dyDescent="0.35">
      <c r="A3" s="8" t="s">
        <v>146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 spans="1:11" x14ac:dyDescent="0.35">
      <c r="A4" s="8"/>
      <c r="B4" s="8"/>
      <c r="C4" s="8"/>
      <c r="D4" s="8"/>
      <c r="E4" s="8"/>
      <c r="F4" s="8"/>
      <c r="G4" s="8"/>
      <c r="H4" s="8"/>
      <c r="I4" s="8"/>
      <c r="J4" s="8"/>
      <c r="K4" s="8"/>
    </row>
    <row r="5" spans="1:11" x14ac:dyDescent="0.35">
      <c r="A5" s="8" t="s">
        <v>148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spans="1:11" ht="29" x14ac:dyDescent="0.35">
      <c r="A6" s="8" t="s">
        <v>149</v>
      </c>
      <c r="B6" s="8"/>
      <c r="C6" s="8"/>
      <c r="D6" s="8"/>
      <c r="E6" s="8"/>
      <c r="F6" s="8"/>
      <c r="G6" s="8"/>
      <c r="H6" s="8"/>
      <c r="I6" s="8"/>
      <c r="J6" s="8"/>
      <c r="K6" s="8"/>
    </row>
    <row r="7" spans="1:11" ht="29" x14ac:dyDescent="0.35">
      <c r="A7" s="8" t="s">
        <v>150</v>
      </c>
      <c r="B7" s="8"/>
      <c r="C7" s="8"/>
      <c r="D7" s="8"/>
      <c r="E7" s="8"/>
      <c r="F7" s="8"/>
      <c r="G7" s="8"/>
      <c r="H7" s="8"/>
      <c r="I7" s="8"/>
      <c r="J7" s="8"/>
      <c r="K7" s="8"/>
    </row>
    <row r="8" spans="1:11" ht="29" x14ac:dyDescent="0.35">
      <c r="A8" s="8" t="s">
        <v>151</v>
      </c>
      <c r="B8" s="8"/>
      <c r="C8" s="8"/>
      <c r="D8" s="8"/>
      <c r="E8" s="8"/>
      <c r="F8" s="8"/>
      <c r="G8" s="8"/>
      <c r="H8" s="8"/>
      <c r="I8" s="8"/>
      <c r="J8" s="8"/>
      <c r="K8" s="8"/>
    </row>
    <row r="9" spans="1:11" x14ac:dyDescent="0.35">
      <c r="A9" s="8"/>
      <c r="B9" s="8"/>
      <c r="C9" s="8"/>
      <c r="D9" s="8"/>
      <c r="E9" s="8"/>
      <c r="F9" s="8"/>
      <c r="G9" s="8"/>
      <c r="H9" s="8"/>
      <c r="I9" s="8"/>
      <c r="J9" s="8"/>
      <c r="K9" s="8"/>
    </row>
    <row r="10" spans="1:11" x14ac:dyDescent="0.35">
      <c r="A10" s="8" t="s">
        <v>152</v>
      </c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1:11" ht="58" x14ac:dyDescent="0.35">
      <c r="A11" s="8" t="s">
        <v>153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 ht="72.5" x14ac:dyDescent="0.35">
      <c r="A12" s="8" t="s">
        <v>154</v>
      </c>
      <c r="B12" s="8"/>
      <c r="C12" s="8"/>
      <c r="D12" s="8"/>
      <c r="E12" s="8"/>
      <c r="F12" s="8"/>
      <c r="G12" s="8"/>
      <c r="H12" s="8"/>
      <c r="I12" s="8"/>
      <c r="J12" s="8"/>
      <c r="K12" s="8"/>
    </row>
    <row r="13" spans="1:11" ht="72.5" x14ac:dyDescent="0.35">
      <c r="A13" s="8" t="s">
        <v>155</v>
      </c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 ht="43.5" x14ac:dyDescent="0.35">
      <c r="A14" s="8" t="s">
        <v>156</v>
      </c>
      <c r="B14" s="8"/>
      <c r="C14" s="8"/>
      <c r="D14" s="8"/>
      <c r="E14" s="8"/>
      <c r="F14" s="8"/>
      <c r="G14" s="8"/>
      <c r="H14" s="8"/>
      <c r="I14" s="8"/>
      <c r="J14" s="8"/>
      <c r="K14" s="8"/>
    </row>
    <row r="15" spans="1:11" x14ac:dyDescent="0.3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 ht="29" x14ac:dyDescent="0.35">
      <c r="A16" s="8" t="s">
        <v>157</v>
      </c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1" ht="43.5" x14ac:dyDescent="0.35">
      <c r="A17" s="8" t="s">
        <v>158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 ht="58" x14ac:dyDescent="0.35">
      <c r="A18" s="8" t="s">
        <v>159</v>
      </c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1:11" ht="58" x14ac:dyDescent="0.35">
      <c r="A19" s="8" t="s">
        <v>160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F8849-C7F9-416C-9B75-761EFD910F43}">
  <dimension ref="A1:K67"/>
  <sheetViews>
    <sheetView topLeftCell="A43" zoomScale="50" zoomScaleNormal="50" workbookViewId="0">
      <selection activeCell="P31" sqref="P31"/>
    </sheetView>
  </sheetViews>
  <sheetFormatPr defaultRowHeight="14.5" x14ac:dyDescent="0.35"/>
  <cols>
    <col min="1" max="1" width="11.453125" customWidth="1"/>
    <col min="2" max="2" width="14.26953125" customWidth="1"/>
    <col min="3" max="3" width="13.26953125" customWidth="1"/>
    <col min="4" max="4" width="16.90625" customWidth="1"/>
    <col min="5" max="5" width="29.453125" customWidth="1"/>
    <col min="6" max="6" width="13.6328125" customWidth="1"/>
    <col min="7" max="7" width="17.36328125" customWidth="1"/>
    <col min="8" max="8" width="28" customWidth="1"/>
    <col min="9" max="9" width="20.81640625" customWidth="1"/>
    <col min="10" max="10" width="35.08984375" customWidth="1"/>
    <col min="11" max="11" width="24.26953125" customWidth="1"/>
  </cols>
  <sheetData>
    <row r="1" spans="1:11" x14ac:dyDescent="0.35">
      <c r="A1" t="s">
        <v>0</v>
      </c>
      <c r="B1" t="s">
        <v>5</v>
      </c>
      <c r="C1" t="s">
        <v>26</v>
      </c>
      <c r="D1" t="s">
        <v>6</v>
      </c>
      <c r="E1" t="s">
        <v>3</v>
      </c>
      <c r="F1" t="s">
        <v>4</v>
      </c>
      <c r="G1" t="s">
        <v>27</v>
      </c>
      <c r="H1" t="s">
        <v>14</v>
      </c>
      <c r="I1" t="s">
        <v>21</v>
      </c>
      <c r="J1" t="s">
        <v>100</v>
      </c>
      <c r="K1" t="s">
        <v>127</v>
      </c>
    </row>
    <row r="2" spans="1:11" x14ac:dyDescent="0.35">
      <c r="A2" t="s">
        <v>43</v>
      </c>
      <c r="D2" t="s">
        <v>7</v>
      </c>
      <c r="E2" t="s">
        <v>7</v>
      </c>
      <c r="F2" t="s">
        <v>8</v>
      </c>
      <c r="H2" t="s">
        <v>131</v>
      </c>
      <c r="I2" t="s">
        <v>22</v>
      </c>
      <c r="J2">
        <v>2</v>
      </c>
      <c r="K2">
        <f>J2</f>
        <v>2</v>
      </c>
    </row>
    <row r="3" spans="1:11" x14ac:dyDescent="0.35">
      <c r="A3" t="s">
        <v>44</v>
      </c>
      <c r="B3" t="s">
        <v>7</v>
      </c>
      <c r="E3" t="s">
        <v>10</v>
      </c>
      <c r="F3" t="s">
        <v>9</v>
      </c>
      <c r="H3" t="s">
        <v>18</v>
      </c>
      <c r="I3" t="s">
        <v>22</v>
      </c>
      <c r="J3">
        <v>-1</v>
      </c>
      <c r="K3">
        <f>K2+J3</f>
        <v>1</v>
      </c>
    </row>
    <row r="4" spans="1:11" x14ac:dyDescent="0.35">
      <c r="A4" t="s">
        <v>45</v>
      </c>
      <c r="D4" t="s">
        <v>7</v>
      </c>
      <c r="E4" t="s">
        <v>7</v>
      </c>
      <c r="F4" t="s">
        <v>8</v>
      </c>
      <c r="G4" t="s">
        <v>7</v>
      </c>
      <c r="H4" t="s">
        <v>42</v>
      </c>
      <c r="I4" t="s">
        <v>22</v>
      </c>
      <c r="J4">
        <v>2</v>
      </c>
      <c r="K4">
        <f t="shared" ref="K4:K39" si="0">K3+J4</f>
        <v>3</v>
      </c>
    </row>
    <row r="5" spans="1:11" x14ac:dyDescent="0.35">
      <c r="A5" t="s">
        <v>46</v>
      </c>
      <c r="C5" t="s">
        <v>7</v>
      </c>
      <c r="E5" t="s">
        <v>10</v>
      </c>
      <c r="F5" t="s">
        <v>8</v>
      </c>
      <c r="H5" t="s">
        <v>15</v>
      </c>
      <c r="I5" t="s">
        <v>22</v>
      </c>
      <c r="J5">
        <v>3.5</v>
      </c>
      <c r="K5">
        <f t="shared" si="0"/>
        <v>6.5</v>
      </c>
    </row>
    <row r="6" spans="1:11" x14ac:dyDescent="0.35">
      <c r="A6" t="s">
        <v>47</v>
      </c>
      <c r="B6" t="s">
        <v>7</v>
      </c>
      <c r="E6" t="s">
        <v>10</v>
      </c>
      <c r="F6" t="s">
        <v>9</v>
      </c>
      <c r="H6" t="s">
        <v>18</v>
      </c>
      <c r="I6" t="s">
        <v>23</v>
      </c>
      <c r="J6">
        <v>-1</v>
      </c>
      <c r="K6">
        <f t="shared" si="0"/>
        <v>5.5</v>
      </c>
    </row>
    <row r="7" spans="1:11" x14ac:dyDescent="0.35">
      <c r="A7" s="1" t="s">
        <v>48</v>
      </c>
      <c r="B7" t="s">
        <v>7</v>
      </c>
      <c r="E7" t="s">
        <v>13</v>
      </c>
      <c r="F7" t="s">
        <v>9</v>
      </c>
      <c r="H7" t="s">
        <v>15</v>
      </c>
      <c r="I7" t="s">
        <v>22</v>
      </c>
      <c r="J7">
        <v>-1</v>
      </c>
      <c r="K7">
        <f t="shared" si="0"/>
        <v>4.5</v>
      </c>
    </row>
    <row r="8" spans="1:11" x14ac:dyDescent="0.35">
      <c r="A8" t="s">
        <v>49</v>
      </c>
      <c r="D8" t="s">
        <v>7</v>
      </c>
      <c r="E8" t="s">
        <v>10</v>
      </c>
      <c r="F8" t="s">
        <v>9</v>
      </c>
      <c r="H8" t="s">
        <v>16</v>
      </c>
      <c r="I8" t="s">
        <v>22</v>
      </c>
      <c r="J8">
        <v>-1</v>
      </c>
      <c r="K8">
        <f t="shared" si="0"/>
        <v>3.5</v>
      </c>
    </row>
    <row r="9" spans="1:11" x14ac:dyDescent="0.35">
      <c r="A9" t="s">
        <v>50</v>
      </c>
      <c r="B9" t="s">
        <v>7</v>
      </c>
      <c r="E9" t="s">
        <v>10</v>
      </c>
      <c r="F9" t="s">
        <v>8</v>
      </c>
      <c r="H9" t="s">
        <v>18</v>
      </c>
      <c r="I9" t="s">
        <v>22</v>
      </c>
      <c r="J9">
        <v>3.5</v>
      </c>
      <c r="K9">
        <f t="shared" si="0"/>
        <v>7</v>
      </c>
    </row>
    <row r="10" spans="1:11" x14ac:dyDescent="0.35">
      <c r="A10" t="s">
        <v>51</v>
      </c>
      <c r="D10" t="s">
        <v>7</v>
      </c>
      <c r="E10" t="s">
        <v>10</v>
      </c>
      <c r="F10" t="s">
        <v>9</v>
      </c>
      <c r="H10" t="s">
        <v>16</v>
      </c>
      <c r="I10" t="s">
        <v>22</v>
      </c>
      <c r="J10">
        <v>-1</v>
      </c>
      <c r="K10">
        <f t="shared" si="0"/>
        <v>6</v>
      </c>
    </row>
    <row r="11" spans="1:11" x14ac:dyDescent="0.35">
      <c r="A11" t="s">
        <v>41</v>
      </c>
      <c r="D11" t="s">
        <v>7</v>
      </c>
      <c r="E11" t="s">
        <v>7</v>
      </c>
      <c r="F11" t="s">
        <v>8</v>
      </c>
      <c r="H11" t="s">
        <v>17</v>
      </c>
      <c r="I11" t="s">
        <v>22</v>
      </c>
      <c r="J11">
        <v>3.5</v>
      </c>
      <c r="K11">
        <f t="shared" si="0"/>
        <v>9.5</v>
      </c>
    </row>
    <row r="12" spans="1:11" x14ac:dyDescent="0.35">
      <c r="A12" t="s">
        <v>52</v>
      </c>
      <c r="B12" t="s">
        <v>7</v>
      </c>
      <c r="E12" t="s">
        <v>10</v>
      </c>
      <c r="F12" t="s">
        <v>9</v>
      </c>
      <c r="H12" t="s">
        <v>18</v>
      </c>
      <c r="I12" t="s">
        <v>22</v>
      </c>
      <c r="J12">
        <v>-1</v>
      </c>
      <c r="K12">
        <f t="shared" si="0"/>
        <v>8.5</v>
      </c>
    </row>
    <row r="13" spans="1:11" x14ac:dyDescent="0.35">
      <c r="A13" t="s">
        <v>53</v>
      </c>
      <c r="B13" t="s">
        <v>7</v>
      </c>
      <c r="E13" t="s">
        <v>10</v>
      </c>
      <c r="F13" t="s">
        <v>9</v>
      </c>
      <c r="H13" t="s">
        <v>18</v>
      </c>
      <c r="I13" t="s">
        <v>23</v>
      </c>
      <c r="J13">
        <v>-1</v>
      </c>
      <c r="K13">
        <f t="shared" si="0"/>
        <v>7.5</v>
      </c>
    </row>
    <row r="14" spans="1:11" x14ac:dyDescent="0.35">
      <c r="A14" t="s">
        <v>53</v>
      </c>
      <c r="B14" t="s">
        <v>7</v>
      </c>
      <c r="E14" t="s">
        <v>7</v>
      </c>
      <c r="F14" t="s">
        <v>9</v>
      </c>
      <c r="H14" t="s">
        <v>16</v>
      </c>
      <c r="I14" t="s">
        <v>23</v>
      </c>
      <c r="J14">
        <v>-1</v>
      </c>
      <c r="K14">
        <f t="shared" si="0"/>
        <v>6.5</v>
      </c>
    </row>
    <row r="15" spans="1:11" x14ac:dyDescent="0.35">
      <c r="A15" t="s">
        <v>54</v>
      </c>
      <c r="D15" t="s">
        <v>7</v>
      </c>
      <c r="E15" t="s">
        <v>7</v>
      </c>
      <c r="F15" t="s">
        <v>9</v>
      </c>
      <c r="G15" t="s">
        <v>7</v>
      </c>
      <c r="H15" t="s">
        <v>17</v>
      </c>
      <c r="I15" t="s">
        <v>23</v>
      </c>
      <c r="J15">
        <v>-1</v>
      </c>
      <c r="K15">
        <f t="shared" si="0"/>
        <v>5.5</v>
      </c>
    </row>
    <row r="16" spans="1:11" x14ac:dyDescent="0.35">
      <c r="A16" t="s">
        <v>54</v>
      </c>
      <c r="D16" t="s">
        <v>7</v>
      </c>
      <c r="E16" t="s">
        <v>7</v>
      </c>
      <c r="F16" t="s">
        <v>8</v>
      </c>
      <c r="G16" t="s">
        <v>7</v>
      </c>
      <c r="H16" t="s">
        <v>17</v>
      </c>
      <c r="I16" t="s">
        <v>23</v>
      </c>
      <c r="J16">
        <v>2</v>
      </c>
      <c r="K16">
        <f t="shared" si="0"/>
        <v>7.5</v>
      </c>
    </row>
    <row r="17" spans="1:11" x14ac:dyDescent="0.35">
      <c r="A17" t="s">
        <v>55</v>
      </c>
      <c r="B17" t="s">
        <v>7</v>
      </c>
      <c r="E17" t="s">
        <v>7</v>
      </c>
      <c r="F17" t="s">
        <v>8</v>
      </c>
      <c r="H17" t="s">
        <v>16</v>
      </c>
      <c r="I17" t="s">
        <v>23</v>
      </c>
      <c r="J17">
        <v>2</v>
      </c>
      <c r="K17">
        <f t="shared" si="0"/>
        <v>9.5</v>
      </c>
    </row>
    <row r="18" spans="1:11" x14ac:dyDescent="0.35">
      <c r="A18" t="s">
        <v>56</v>
      </c>
      <c r="B18" t="s">
        <v>7</v>
      </c>
      <c r="E18" t="s">
        <v>10</v>
      </c>
      <c r="F18" t="s">
        <v>9</v>
      </c>
      <c r="H18" t="s">
        <v>18</v>
      </c>
      <c r="I18" t="s">
        <v>23</v>
      </c>
      <c r="J18">
        <v>-1</v>
      </c>
      <c r="K18">
        <f t="shared" si="0"/>
        <v>8.5</v>
      </c>
    </row>
    <row r="19" spans="1:11" x14ac:dyDescent="0.35">
      <c r="A19" t="s">
        <v>57</v>
      </c>
      <c r="B19" t="s">
        <v>7</v>
      </c>
      <c r="E19" t="s">
        <v>10</v>
      </c>
      <c r="F19" t="s">
        <v>9</v>
      </c>
      <c r="H19" t="s">
        <v>18</v>
      </c>
      <c r="I19" t="s">
        <v>22</v>
      </c>
      <c r="J19">
        <v>-1</v>
      </c>
      <c r="K19">
        <f t="shared" si="0"/>
        <v>7.5</v>
      </c>
    </row>
    <row r="20" spans="1:11" x14ac:dyDescent="0.35">
      <c r="A20" t="s">
        <v>57</v>
      </c>
      <c r="D20" t="s">
        <v>7</v>
      </c>
      <c r="E20" t="s">
        <v>10</v>
      </c>
      <c r="F20" t="s">
        <v>8</v>
      </c>
      <c r="H20" t="s">
        <v>16</v>
      </c>
      <c r="I20" t="s">
        <v>22</v>
      </c>
      <c r="J20">
        <v>2</v>
      </c>
      <c r="K20">
        <f t="shared" si="0"/>
        <v>9.5</v>
      </c>
    </row>
    <row r="21" spans="1:11" x14ac:dyDescent="0.35">
      <c r="A21" t="s">
        <v>58</v>
      </c>
      <c r="D21" t="s">
        <v>7</v>
      </c>
      <c r="E21" t="s">
        <v>10</v>
      </c>
      <c r="F21" t="s">
        <v>8</v>
      </c>
      <c r="H21" t="s">
        <v>16</v>
      </c>
      <c r="I21" t="s">
        <v>22</v>
      </c>
      <c r="J21">
        <v>3.5</v>
      </c>
      <c r="K21">
        <f t="shared" si="0"/>
        <v>13</v>
      </c>
    </row>
    <row r="22" spans="1:11" x14ac:dyDescent="0.35">
      <c r="A22" t="s">
        <v>59</v>
      </c>
      <c r="B22" t="s">
        <v>7</v>
      </c>
      <c r="E22" t="s">
        <v>10</v>
      </c>
      <c r="F22" t="s">
        <v>9</v>
      </c>
      <c r="G22" t="s">
        <v>7</v>
      </c>
      <c r="H22" t="s">
        <v>18</v>
      </c>
      <c r="I22" t="s">
        <v>23</v>
      </c>
      <c r="J22">
        <v>-1</v>
      </c>
      <c r="K22">
        <f t="shared" si="0"/>
        <v>12</v>
      </c>
    </row>
    <row r="23" spans="1:11" x14ac:dyDescent="0.35">
      <c r="A23" t="s">
        <v>33</v>
      </c>
      <c r="D23" t="s">
        <v>7</v>
      </c>
      <c r="E23" t="s">
        <v>7</v>
      </c>
      <c r="F23" t="s">
        <v>8</v>
      </c>
      <c r="H23" t="s">
        <v>17</v>
      </c>
      <c r="I23" t="s">
        <v>23</v>
      </c>
      <c r="J23">
        <v>2</v>
      </c>
      <c r="K23">
        <f t="shared" si="0"/>
        <v>14</v>
      </c>
    </row>
    <row r="24" spans="1:11" x14ac:dyDescent="0.35">
      <c r="A24" t="s">
        <v>60</v>
      </c>
      <c r="D24" t="s">
        <v>7</v>
      </c>
      <c r="E24" t="s">
        <v>10</v>
      </c>
      <c r="F24" t="s">
        <v>8</v>
      </c>
      <c r="H24" t="s">
        <v>16</v>
      </c>
      <c r="I24" t="s">
        <v>23</v>
      </c>
      <c r="J24">
        <v>2</v>
      </c>
      <c r="K24">
        <f t="shared" si="0"/>
        <v>16</v>
      </c>
    </row>
    <row r="25" spans="1:11" x14ac:dyDescent="0.35">
      <c r="A25" t="s">
        <v>29</v>
      </c>
      <c r="B25" t="s">
        <v>7</v>
      </c>
      <c r="E25" t="s">
        <v>10</v>
      </c>
      <c r="F25" t="s">
        <v>8</v>
      </c>
      <c r="H25" t="s">
        <v>16</v>
      </c>
      <c r="I25" t="s">
        <v>23</v>
      </c>
      <c r="J25">
        <v>3.5</v>
      </c>
      <c r="K25">
        <f t="shared" si="0"/>
        <v>19.5</v>
      </c>
    </row>
    <row r="26" spans="1:11" x14ac:dyDescent="0.35">
      <c r="A26" t="s">
        <v>61</v>
      </c>
      <c r="D26" t="s">
        <v>7</v>
      </c>
      <c r="E26" t="s">
        <v>10</v>
      </c>
      <c r="F26" t="s">
        <v>8</v>
      </c>
      <c r="H26" t="s">
        <v>16</v>
      </c>
      <c r="I26" t="s">
        <v>22</v>
      </c>
      <c r="J26">
        <v>2</v>
      </c>
      <c r="K26">
        <f t="shared" si="0"/>
        <v>21.5</v>
      </c>
    </row>
    <row r="27" spans="1:11" x14ac:dyDescent="0.35">
      <c r="A27" t="s">
        <v>62</v>
      </c>
      <c r="D27" t="s">
        <v>7</v>
      </c>
      <c r="E27" t="s">
        <v>7</v>
      </c>
      <c r="F27" t="s">
        <v>9</v>
      </c>
      <c r="H27" t="s">
        <v>17</v>
      </c>
      <c r="I27" t="s">
        <v>23</v>
      </c>
      <c r="J27">
        <v>-1</v>
      </c>
      <c r="K27">
        <f t="shared" si="0"/>
        <v>20.5</v>
      </c>
    </row>
    <row r="28" spans="1:11" x14ac:dyDescent="0.35">
      <c r="A28" t="s">
        <v>63</v>
      </c>
      <c r="D28" t="s">
        <v>7</v>
      </c>
      <c r="E28" t="s">
        <v>7</v>
      </c>
      <c r="F28" t="s">
        <v>8</v>
      </c>
      <c r="G28" t="s">
        <v>7</v>
      </c>
      <c r="H28" t="s">
        <v>17</v>
      </c>
      <c r="I28" t="s">
        <v>23</v>
      </c>
      <c r="J28">
        <v>2</v>
      </c>
      <c r="K28">
        <f t="shared" si="0"/>
        <v>22.5</v>
      </c>
    </row>
    <row r="29" spans="1:11" x14ac:dyDescent="0.35">
      <c r="A29" t="s">
        <v>64</v>
      </c>
      <c r="B29" t="s">
        <v>7</v>
      </c>
      <c r="E29" t="s">
        <v>7</v>
      </c>
      <c r="F29" t="s">
        <v>8</v>
      </c>
      <c r="H29" t="s">
        <v>16</v>
      </c>
      <c r="I29" t="s">
        <v>22</v>
      </c>
      <c r="J29">
        <v>2</v>
      </c>
      <c r="K29">
        <f t="shared" si="0"/>
        <v>24.5</v>
      </c>
    </row>
    <row r="30" spans="1:11" x14ac:dyDescent="0.35">
      <c r="A30" t="s">
        <v>65</v>
      </c>
      <c r="B30" t="s">
        <v>7</v>
      </c>
      <c r="E30" t="s">
        <v>10</v>
      </c>
      <c r="F30" t="s">
        <v>8</v>
      </c>
      <c r="H30" t="s">
        <v>18</v>
      </c>
      <c r="I30" t="s">
        <v>23</v>
      </c>
      <c r="J30">
        <v>2</v>
      </c>
      <c r="K30">
        <f t="shared" si="0"/>
        <v>26.5</v>
      </c>
    </row>
    <row r="31" spans="1:11" x14ac:dyDescent="0.35">
      <c r="A31" t="s">
        <v>66</v>
      </c>
      <c r="D31" t="s">
        <v>7</v>
      </c>
      <c r="E31" t="s">
        <v>7</v>
      </c>
      <c r="F31" t="s">
        <v>9</v>
      </c>
      <c r="G31" t="s">
        <v>7</v>
      </c>
      <c r="H31" t="s">
        <v>42</v>
      </c>
      <c r="I31" t="s">
        <v>22</v>
      </c>
      <c r="J31">
        <v>-1</v>
      </c>
      <c r="K31">
        <f t="shared" si="0"/>
        <v>25.5</v>
      </c>
    </row>
    <row r="32" spans="1:11" x14ac:dyDescent="0.35">
      <c r="A32" t="s">
        <v>71</v>
      </c>
      <c r="D32" t="s">
        <v>7</v>
      </c>
      <c r="E32" t="s">
        <v>7</v>
      </c>
      <c r="F32" t="s">
        <v>8</v>
      </c>
      <c r="H32" t="s">
        <v>17</v>
      </c>
      <c r="I32" t="s">
        <v>23</v>
      </c>
      <c r="J32">
        <v>3.5</v>
      </c>
      <c r="K32">
        <f t="shared" si="0"/>
        <v>29</v>
      </c>
    </row>
    <row r="33" spans="1:11" x14ac:dyDescent="0.35">
      <c r="A33" t="s">
        <v>72</v>
      </c>
      <c r="B33" t="s">
        <v>7</v>
      </c>
      <c r="E33" t="s">
        <v>10</v>
      </c>
      <c r="F33" t="s">
        <v>8</v>
      </c>
      <c r="H33" t="s">
        <v>18</v>
      </c>
      <c r="I33" t="s">
        <v>23</v>
      </c>
      <c r="J33">
        <v>3.5</v>
      </c>
      <c r="K33">
        <f t="shared" si="0"/>
        <v>32.5</v>
      </c>
    </row>
    <row r="34" spans="1:11" x14ac:dyDescent="0.35">
      <c r="A34" t="s">
        <v>73</v>
      </c>
      <c r="B34" t="s">
        <v>7</v>
      </c>
      <c r="E34" t="s">
        <v>7</v>
      </c>
      <c r="F34" t="s">
        <v>9</v>
      </c>
      <c r="H34" t="s">
        <v>16</v>
      </c>
      <c r="I34" t="s">
        <v>22</v>
      </c>
      <c r="J34">
        <v>-1</v>
      </c>
      <c r="K34">
        <f t="shared" si="0"/>
        <v>31.5</v>
      </c>
    </row>
    <row r="35" spans="1:11" x14ac:dyDescent="0.35">
      <c r="A35" t="s">
        <v>74</v>
      </c>
      <c r="D35" t="s">
        <v>7</v>
      </c>
      <c r="E35" t="s">
        <v>10</v>
      </c>
      <c r="F35" t="s">
        <v>8</v>
      </c>
      <c r="H35" t="s">
        <v>16</v>
      </c>
      <c r="I35" t="s">
        <v>23</v>
      </c>
      <c r="J35">
        <v>3.5</v>
      </c>
      <c r="K35">
        <f t="shared" si="0"/>
        <v>35</v>
      </c>
    </row>
    <row r="36" spans="1:11" x14ac:dyDescent="0.35">
      <c r="A36" t="s">
        <v>75</v>
      </c>
      <c r="C36" t="s">
        <v>7</v>
      </c>
      <c r="E36" t="s">
        <v>10</v>
      </c>
      <c r="F36" t="s">
        <v>8</v>
      </c>
      <c r="H36" t="s">
        <v>15</v>
      </c>
      <c r="I36" t="s">
        <v>23</v>
      </c>
      <c r="J36">
        <v>3.5</v>
      </c>
      <c r="K36">
        <f t="shared" si="0"/>
        <v>38.5</v>
      </c>
    </row>
    <row r="37" spans="1:11" x14ac:dyDescent="0.35">
      <c r="A37" t="s">
        <v>76</v>
      </c>
      <c r="D37" t="s">
        <v>7</v>
      </c>
      <c r="E37" t="s">
        <v>7</v>
      </c>
      <c r="F37" t="s">
        <v>8</v>
      </c>
      <c r="H37" t="s">
        <v>17</v>
      </c>
      <c r="I37" t="s">
        <v>22</v>
      </c>
      <c r="J37">
        <v>2</v>
      </c>
      <c r="K37">
        <f t="shared" si="0"/>
        <v>40.5</v>
      </c>
    </row>
    <row r="38" spans="1:11" x14ac:dyDescent="0.35">
      <c r="A38" t="s">
        <v>77</v>
      </c>
      <c r="D38" t="s">
        <v>7</v>
      </c>
      <c r="E38" t="s">
        <v>10</v>
      </c>
      <c r="F38" t="s">
        <v>9</v>
      </c>
      <c r="H38" t="s">
        <v>16</v>
      </c>
      <c r="I38" t="s">
        <v>22</v>
      </c>
      <c r="J38">
        <v>-1</v>
      </c>
      <c r="K38">
        <f t="shared" si="0"/>
        <v>39.5</v>
      </c>
    </row>
    <row r="39" spans="1:11" x14ac:dyDescent="0.35">
      <c r="A39" t="s">
        <v>77</v>
      </c>
      <c r="D39" t="s">
        <v>7</v>
      </c>
      <c r="E39" t="s">
        <v>10</v>
      </c>
      <c r="F39" t="s">
        <v>8</v>
      </c>
      <c r="H39" t="s">
        <v>16</v>
      </c>
      <c r="I39" t="s">
        <v>22</v>
      </c>
      <c r="J39">
        <v>2</v>
      </c>
      <c r="K39">
        <f t="shared" si="0"/>
        <v>41.5</v>
      </c>
    </row>
    <row r="46" spans="1:11" x14ac:dyDescent="0.35">
      <c r="I46" t="s">
        <v>94</v>
      </c>
      <c r="J46">
        <f>SUM(J2:J39)</f>
        <v>41.5</v>
      </c>
    </row>
    <row r="47" spans="1:11" x14ac:dyDescent="0.35">
      <c r="I47" t="s">
        <v>95</v>
      </c>
      <c r="J47">
        <f>J46-16</f>
        <v>25.5</v>
      </c>
    </row>
    <row r="48" spans="1:11" x14ac:dyDescent="0.35">
      <c r="B48" t="s">
        <v>91</v>
      </c>
    </row>
    <row r="49" spans="2:10" x14ac:dyDescent="0.35">
      <c r="B49" t="s">
        <v>92</v>
      </c>
      <c r="D49" t="s">
        <v>68</v>
      </c>
      <c r="E49" t="s">
        <v>70</v>
      </c>
      <c r="F49" t="s">
        <v>67</v>
      </c>
      <c r="G49" t="s">
        <v>79</v>
      </c>
      <c r="H49" t="s">
        <v>105</v>
      </c>
      <c r="I49" t="s">
        <v>90</v>
      </c>
      <c r="J49" t="s">
        <v>93</v>
      </c>
    </row>
    <row r="50" spans="2:10" x14ac:dyDescent="0.35">
      <c r="B50">
        <v>2</v>
      </c>
      <c r="C50" t="s">
        <v>69</v>
      </c>
      <c r="D50">
        <f>COUNTIF(H2:H39, "A" )</f>
        <v>8</v>
      </c>
      <c r="E50">
        <f>COUNTIFS(F2:F39, "W", H2:H39, "A")</f>
        <v>6</v>
      </c>
      <c r="F50">
        <f>COUNTIFS(F2:F39, "L", H2:H39, "A")</f>
        <v>2</v>
      </c>
      <c r="G50">
        <f>E50/D50*100</f>
        <v>75</v>
      </c>
      <c r="H50">
        <f>SUMIF(H2:H39, "A", J2:J39)</f>
        <v>13</v>
      </c>
      <c r="I50">
        <f>D50*B50</f>
        <v>16</v>
      </c>
      <c r="J50">
        <f>H50*B50-B50*F50</f>
        <v>22</v>
      </c>
    </row>
    <row r="51" spans="2:10" x14ac:dyDescent="0.35">
      <c r="B51">
        <v>1</v>
      </c>
      <c r="C51" t="s">
        <v>78</v>
      </c>
      <c r="D51">
        <f>COUNTIF(H2:H39, "B")</f>
        <v>14</v>
      </c>
      <c r="E51">
        <f>COUNTIFS(F2:F39, "W", H2:H39, "B")</f>
        <v>9</v>
      </c>
      <c r="F51">
        <f>COUNTIFS(F2:F39, "L", H2:H39, "B")</f>
        <v>5</v>
      </c>
      <c r="G51">
        <f t="shared" ref="G51:G53" si="1">E51/D51*100</f>
        <v>64.285714285714292</v>
      </c>
      <c r="H51">
        <f>SUMIF(H2:H39, "B", J2:J39)</f>
        <v>17.5</v>
      </c>
      <c r="I51">
        <f t="shared" ref="I51:I53" si="2">D51*B51</f>
        <v>14</v>
      </c>
      <c r="J51">
        <f>H51*B51-B51*F51</f>
        <v>12.5</v>
      </c>
    </row>
    <row r="52" spans="2:10" x14ac:dyDescent="0.35">
      <c r="B52">
        <v>1</v>
      </c>
      <c r="C52" t="s">
        <v>80</v>
      </c>
      <c r="D52">
        <f>COUNTIF(H2:H39, "C" )</f>
        <v>3</v>
      </c>
      <c r="E52">
        <f>COUNTIFS(F2:F39, "W", H2:H39, "C" )</f>
        <v>2</v>
      </c>
      <c r="F52">
        <f>COUNTIFS(F2:F39, "L", H2:H39, "C")</f>
        <v>1</v>
      </c>
      <c r="G52">
        <f t="shared" si="1"/>
        <v>66.666666666666657</v>
      </c>
      <c r="H52">
        <f>SUMIF(H2:H39, "C", J2:J39)</f>
        <v>6</v>
      </c>
      <c r="I52">
        <f t="shared" si="2"/>
        <v>3</v>
      </c>
      <c r="J52">
        <f>H52*B52-B52*F52</f>
        <v>5</v>
      </c>
    </row>
    <row r="53" spans="2:10" x14ac:dyDescent="0.35">
      <c r="B53">
        <v>0.1</v>
      </c>
      <c r="C53" t="s">
        <v>81</v>
      </c>
      <c r="D53">
        <f>COUNTIF(H2:H39, "D" ) + COUNTIF(H2:H39, "F")</f>
        <v>12</v>
      </c>
      <c r="E53">
        <f>COUNTIFS(F2:F39, "W", H2:H39, "D" ) + COUNTIFS(F2:F39, "W", H2:H39, "F")</f>
        <v>4</v>
      </c>
      <c r="F53">
        <f>COUNTIFS(F2:F39, "L", H2:H39, "D") + COUNTIFS(F2:F39, "L", H2:H39, "F")</f>
        <v>8</v>
      </c>
      <c r="G53">
        <f t="shared" si="1"/>
        <v>33.333333333333329</v>
      </c>
      <c r="H53">
        <f>SUMIF(H2:H39, "D", J2:J39) + SUMIF(H2:H39, "F", J2:J39)</f>
        <v>3</v>
      </c>
      <c r="I53">
        <f t="shared" si="2"/>
        <v>1.2000000000000002</v>
      </c>
      <c r="J53">
        <f>H53*B53-B53*F53</f>
        <v>-0.5</v>
      </c>
    </row>
    <row r="54" spans="2:10" x14ac:dyDescent="0.35">
      <c r="D54">
        <f>SUM(D50:D53)</f>
        <v>37</v>
      </c>
      <c r="E54">
        <f>SUM(E50:E53)</f>
        <v>21</v>
      </c>
    </row>
    <row r="55" spans="2:10" x14ac:dyDescent="0.35">
      <c r="D55">
        <f>SUM(D50:D52)</f>
        <v>25</v>
      </c>
      <c r="E55">
        <f>SUM(E50:E52)</f>
        <v>17</v>
      </c>
    </row>
    <row r="56" spans="2:10" x14ac:dyDescent="0.35">
      <c r="E56" t="s">
        <v>98</v>
      </c>
      <c r="F56">
        <f>E54/D54*100</f>
        <v>56.756756756756758</v>
      </c>
      <c r="I56" t="s">
        <v>96</v>
      </c>
      <c r="J56">
        <f>SUM(J50:J53)</f>
        <v>39</v>
      </c>
    </row>
    <row r="58" spans="2:10" x14ac:dyDescent="0.35">
      <c r="E58" t="s">
        <v>99</v>
      </c>
      <c r="F58">
        <f>E55/D55*100</f>
        <v>68</v>
      </c>
      <c r="I58" t="s">
        <v>97</v>
      </c>
      <c r="J58">
        <f>J56-J47</f>
        <v>13.5</v>
      </c>
    </row>
    <row r="63" spans="2:10" x14ac:dyDescent="0.35">
      <c r="D63" t="s">
        <v>106</v>
      </c>
      <c r="E63" t="s">
        <v>93</v>
      </c>
    </row>
    <row r="64" spans="2:10" x14ac:dyDescent="0.35">
      <c r="D64" t="s">
        <v>69</v>
      </c>
      <c r="E64">
        <f>H50*B50-B50*F50</f>
        <v>22</v>
      </c>
    </row>
    <row r="65" spans="4:5" x14ac:dyDescent="0.35">
      <c r="D65" t="s">
        <v>78</v>
      </c>
      <c r="E65">
        <f>H51*B51-B51*F51</f>
        <v>12.5</v>
      </c>
    </row>
    <row r="66" spans="4:5" x14ac:dyDescent="0.35">
      <c r="D66" t="s">
        <v>80</v>
      </c>
      <c r="E66">
        <f>H52*B52-B52*F52</f>
        <v>5</v>
      </c>
    </row>
    <row r="67" spans="4:5" x14ac:dyDescent="0.35">
      <c r="D67" t="s">
        <v>81</v>
      </c>
      <c r="E67">
        <f>H53*B53-B53*F53</f>
        <v>-0.5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AE848-0AC0-4AC3-A58A-C688ACF14240}">
  <dimension ref="A1:K24"/>
  <sheetViews>
    <sheetView topLeftCell="A4" workbookViewId="0">
      <selection activeCell="A25" sqref="A25"/>
    </sheetView>
  </sheetViews>
  <sheetFormatPr defaultRowHeight="14.5" x14ac:dyDescent="0.35"/>
  <cols>
    <col min="1" max="1" width="10.26953125" customWidth="1"/>
    <col min="2" max="2" width="15.54296875" customWidth="1"/>
    <col min="3" max="3" width="14.54296875" customWidth="1"/>
    <col min="4" max="4" width="15.54296875" customWidth="1"/>
    <col min="6" max="6" width="13.81640625" customWidth="1"/>
    <col min="7" max="7" width="17.7265625" customWidth="1"/>
    <col min="9" max="10" width="13.6328125" customWidth="1"/>
    <col min="11" max="11" width="27.90625" customWidth="1"/>
  </cols>
  <sheetData>
    <row r="1" spans="1:11" x14ac:dyDescent="0.35">
      <c r="A1" t="s">
        <v>0</v>
      </c>
      <c r="B1" t="s">
        <v>5</v>
      </c>
      <c r="C1" t="s">
        <v>26</v>
      </c>
      <c r="D1" t="s">
        <v>6</v>
      </c>
      <c r="E1" t="s">
        <v>3</v>
      </c>
      <c r="F1" t="s">
        <v>4</v>
      </c>
      <c r="G1" t="s">
        <v>27</v>
      </c>
      <c r="H1" t="s">
        <v>14</v>
      </c>
      <c r="I1" t="s">
        <v>21</v>
      </c>
      <c r="J1" t="s">
        <v>83</v>
      </c>
      <c r="K1" t="s">
        <v>28</v>
      </c>
    </row>
    <row r="2" spans="1:11" x14ac:dyDescent="0.35">
      <c r="A2" t="s">
        <v>84</v>
      </c>
      <c r="D2" t="s">
        <v>7</v>
      </c>
      <c r="E2" t="s">
        <v>7</v>
      </c>
      <c r="F2" t="s">
        <v>8</v>
      </c>
      <c r="H2" t="s">
        <v>17</v>
      </c>
      <c r="I2" t="s">
        <v>23</v>
      </c>
      <c r="J2">
        <v>3.5</v>
      </c>
    </row>
    <row r="3" spans="1:11" x14ac:dyDescent="0.35">
      <c r="A3" t="s">
        <v>85</v>
      </c>
      <c r="D3" t="s">
        <v>7</v>
      </c>
      <c r="E3" t="s">
        <v>7</v>
      </c>
      <c r="F3" t="s">
        <v>9</v>
      </c>
      <c r="H3" t="s">
        <v>17</v>
      </c>
      <c r="I3" t="s">
        <v>22</v>
      </c>
    </row>
    <row r="4" spans="1:11" x14ac:dyDescent="0.35">
      <c r="A4" t="s">
        <v>86</v>
      </c>
      <c r="B4" t="s">
        <v>7</v>
      </c>
      <c r="E4" t="s">
        <v>10</v>
      </c>
      <c r="F4" t="s">
        <v>9</v>
      </c>
      <c r="H4" t="s">
        <v>18</v>
      </c>
      <c r="I4" t="s">
        <v>22</v>
      </c>
    </row>
    <row r="5" spans="1:11" x14ac:dyDescent="0.35">
      <c r="A5" t="s">
        <v>86</v>
      </c>
      <c r="B5" t="s">
        <v>7</v>
      </c>
      <c r="E5" t="s">
        <v>10</v>
      </c>
      <c r="F5" t="s">
        <v>9</v>
      </c>
      <c r="H5" t="s">
        <v>18</v>
      </c>
      <c r="I5" t="s">
        <v>22</v>
      </c>
    </row>
    <row r="6" spans="1:11" x14ac:dyDescent="0.35">
      <c r="A6" t="s">
        <v>87</v>
      </c>
      <c r="D6" t="s">
        <v>7</v>
      </c>
      <c r="E6" t="s">
        <v>7</v>
      </c>
      <c r="F6" t="s">
        <v>8</v>
      </c>
      <c r="H6" t="s">
        <v>17</v>
      </c>
      <c r="I6" t="s">
        <v>22</v>
      </c>
      <c r="J6">
        <v>3.5</v>
      </c>
    </row>
    <row r="7" spans="1:11" x14ac:dyDescent="0.35">
      <c r="A7" t="s">
        <v>88</v>
      </c>
      <c r="D7" t="s">
        <v>7</v>
      </c>
      <c r="E7" t="s">
        <v>10</v>
      </c>
      <c r="F7" t="s">
        <v>9</v>
      </c>
      <c r="H7" t="s">
        <v>16</v>
      </c>
      <c r="I7" t="s">
        <v>23</v>
      </c>
    </row>
    <row r="8" spans="1:11" x14ac:dyDescent="0.35">
      <c r="A8" t="s">
        <v>89</v>
      </c>
      <c r="B8" t="s">
        <v>7</v>
      </c>
      <c r="E8" t="s">
        <v>10</v>
      </c>
      <c r="F8" t="s">
        <v>8</v>
      </c>
      <c r="H8" t="s">
        <v>18</v>
      </c>
      <c r="I8" t="s">
        <v>23</v>
      </c>
      <c r="J8">
        <v>3.5</v>
      </c>
    </row>
    <row r="9" spans="1:11" x14ac:dyDescent="0.35">
      <c r="A9" t="s">
        <v>115</v>
      </c>
      <c r="C9" t="s">
        <v>7</v>
      </c>
      <c r="E9" t="s">
        <v>10</v>
      </c>
      <c r="F9" t="s">
        <v>8</v>
      </c>
      <c r="H9" t="s">
        <v>15</v>
      </c>
      <c r="I9" t="s">
        <v>22</v>
      </c>
      <c r="J9">
        <v>3.5</v>
      </c>
    </row>
    <row r="10" spans="1:11" x14ac:dyDescent="0.35">
      <c r="A10" t="s">
        <v>116</v>
      </c>
      <c r="C10" t="s">
        <v>7</v>
      </c>
      <c r="E10" t="s">
        <v>10</v>
      </c>
      <c r="F10" t="s">
        <v>9</v>
      </c>
      <c r="H10" t="s">
        <v>15</v>
      </c>
      <c r="I10" t="s">
        <v>23</v>
      </c>
    </row>
    <row r="11" spans="1:11" x14ac:dyDescent="0.35">
      <c r="A11" s="1" t="s">
        <v>117</v>
      </c>
      <c r="D11" t="s">
        <v>7</v>
      </c>
      <c r="E11" t="s">
        <v>7</v>
      </c>
      <c r="F11" t="s">
        <v>8</v>
      </c>
      <c r="H11" t="s">
        <v>17</v>
      </c>
      <c r="I11" t="s">
        <v>23</v>
      </c>
      <c r="J11">
        <v>3.5</v>
      </c>
    </row>
    <row r="12" spans="1:11" x14ac:dyDescent="0.35">
      <c r="A12" t="s">
        <v>118</v>
      </c>
      <c r="D12" t="s">
        <v>7</v>
      </c>
      <c r="E12" t="s">
        <v>7</v>
      </c>
      <c r="F12" t="s">
        <v>9</v>
      </c>
      <c r="H12" t="s">
        <v>17</v>
      </c>
      <c r="I12" t="s">
        <v>23</v>
      </c>
    </row>
    <row r="13" spans="1:11" x14ac:dyDescent="0.35">
      <c r="A13" t="s">
        <v>119</v>
      </c>
      <c r="B13" t="s">
        <v>7</v>
      </c>
      <c r="E13" t="s">
        <v>10</v>
      </c>
      <c r="F13" t="s">
        <v>8</v>
      </c>
      <c r="H13" t="s">
        <v>18</v>
      </c>
      <c r="I13" t="s">
        <v>31</v>
      </c>
      <c r="J13">
        <v>2</v>
      </c>
    </row>
    <row r="14" spans="1:11" x14ac:dyDescent="0.35">
      <c r="A14" t="s">
        <v>120</v>
      </c>
      <c r="B14" t="s">
        <v>7</v>
      </c>
      <c r="E14" t="s">
        <v>10</v>
      </c>
      <c r="F14" t="s">
        <v>8</v>
      </c>
      <c r="H14" t="s">
        <v>18</v>
      </c>
      <c r="I14" t="s">
        <v>22</v>
      </c>
      <c r="J14">
        <v>3.5</v>
      </c>
    </row>
    <row r="15" spans="1:11" x14ac:dyDescent="0.35">
      <c r="A15" t="s">
        <v>121</v>
      </c>
      <c r="B15" t="s">
        <v>7</v>
      </c>
      <c r="E15" t="s">
        <v>7</v>
      </c>
      <c r="F15" t="s">
        <v>8</v>
      </c>
      <c r="H15" t="s">
        <v>16</v>
      </c>
      <c r="I15" t="s">
        <v>22</v>
      </c>
      <c r="J15">
        <v>3.5</v>
      </c>
    </row>
    <row r="16" spans="1:11" x14ac:dyDescent="0.35">
      <c r="A16" t="s">
        <v>122</v>
      </c>
      <c r="B16" t="s">
        <v>7</v>
      </c>
      <c r="E16" t="s">
        <v>7</v>
      </c>
      <c r="F16" t="s">
        <v>8</v>
      </c>
      <c r="H16" t="s">
        <v>16</v>
      </c>
      <c r="I16" t="s">
        <v>22</v>
      </c>
      <c r="J16">
        <v>2</v>
      </c>
    </row>
    <row r="17" spans="1:10" x14ac:dyDescent="0.35">
      <c r="A17" t="s">
        <v>123</v>
      </c>
      <c r="B17" t="s">
        <v>7</v>
      </c>
      <c r="E17" t="s">
        <v>7</v>
      </c>
      <c r="F17" t="s">
        <v>8</v>
      </c>
      <c r="H17" t="s">
        <v>16</v>
      </c>
      <c r="I17" t="s">
        <v>22</v>
      </c>
      <c r="J17">
        <v>3.5</v>
      </c>
    </row>
    <row r="18" spans="1:10" x14ac:dyDescent="0.35">
      <c r="A18" t="s">
        <v>124</v>
      </c>
      <c r="D18" t="s">
        <v>7</v>
      </c>
      <c r="E18" t="s">
        <v>7</v>
      </c>
      <c r="F18" t="s">
        <v>9</v>
      </c>
      <c r="G18" t="s">
        <v>7</v>
      </c>
      <c r="H18" t="s">
        <v>42</v>
      </c>
      <c r="I18" t="s">
        <v>23</v>
      </c>
    </row>
    <row r="19" spans="1:10" x14ac:dyDescent="0.35">
      <c r="A19" t="s">
        <v>125</v>
      </c>
      <c r="D19" t="s">
        <v>7</v>
      </c>
      <c r="E19" t="s">
        <v>7</v>
      </c>
      <c r="F19" t="s">
        <v>9</v>
      </c>
      <c r="H19" t="s">
        <v>17</v>
      </c>
      <c r="I19" t="s">
        <v>23</v>
      </c>
    </row>
    <row r="20" spans="1:10" x14ac:dyDescent="0.35">
      <c r="A20" t="s">
        <v>126</v>
      </c>
      <c r="B20" t="s">
        <v>7</v>
      </c>
      <c r="E20" t="s">
        <v>10</v>
      </c>
      <c r="F20" t="s">
        <v>9</v>
      </c>
      <c r="H20" t="s">
        <v>18</v>
      </c>
      <c r="I20" t="s">
        <v>22</v>
      </c>
    </row>
    <row r="21" spans="1:10" x14ac:dyDescent="0.35">
      <c r="A21" t="s">
        <v>55</v>
      </c>
      <c r="D21" t="s">
        <v>7</v>
      </c>
      <c r="E21" t="s">
        <v>7</v>
      </c>
      <c r="F21" t="s">
        <v>8</v>
      </c>
      <c r="H21" t="s">
        <v>17</v>
      </c>
      <c r="I21" t="s">
        <v>22</v>
      </c>
      <c r="J21">
        <v>2</v>
      </c>
    </row>
    <row r="22" spans="1:10" x14ac:dyDescent="0.35">
      <c r="A22" t="s">
        <v>129</v>
      </c>
      <c r="D22" t="s">
        <v>7</v>
      </c>
      <c r="E22" t="s">
        <v>10</v>
      </c>
      <c r="F22" t="s">
        <v>8</v>
      </c>
      <c r="H22" t="s">
        <v>16</v>
      </c>
      <c r="I22" t="s">
        <v>22</v>
      </c>
      <c r="J22">
        <v>2</v>
      </c>
    </row>
    <row r="23" spans="1:10" x14ac:dyDescent="0.35">
      <c r="A23" s="1" t="s">
        <v>130</v>
      </c>
      <c r="D23" t="s">
        <v>7</v>
      </c>
      <c r="E23" t="s">
        <v>7</v>
      </c>
      <c r="F23" t="s">
        <v>9</v>
      </c>
      <c r="H23" t="s">
        <v>17</v>
      </c>
      <c r="I23" t="s">
        <v>22</v>
      </c>
    </row>
    <row r="24" spans="1:10" x14ac:dyDescent="0.35">
      <c r="A24" t="s">
        <v>132</v>
      </c>
      <c r="B24" t="s">
        <v>7</v>
      </c>
      <c r="E24" t="s">
        <v>7</v>
      </c>
      <c r="F24" t="s">
        <v>9</v>
      </c>
      <c r="H24" t="s">
        <v>18</v>
      </c>
      <c r="I2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2026 US30</vt:lpstr>
      <vt:lpstr>Executive Dashboard</vt:lpstr>
      <vt:lpstr>Financial Modelling </vt:lpstr>
      <vt:lpstr>README</vt:lpstr>
      <vt:lpstr>2025 US 30</vt:lpstr>
      <vt:lpstr>2022 US 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Awwal Folami</dc:creator>
  <cp:lastModifiedBy>Mohammed Awwal Folami</cp:lastModifiedBy>
  <dcterms:created xsi:type="dcterms:W3CDTF">2026-09-20T21:55:06Z</dcterms:created>
  <dcterms:modified xsi:type="dcterms:W3CDTF">2026-10-09T07:08:41Z</dcterms:modified>
</cp:coreProperties>
</file>